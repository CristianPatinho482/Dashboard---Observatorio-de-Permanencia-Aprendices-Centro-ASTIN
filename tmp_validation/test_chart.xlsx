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4.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5.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6.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worksheets/sheet7.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8.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rtada" sheetId="1" state="visible" r:id="rId1"/>
    <sheet name="Resumen" sheetId="2" state="visible" r:id="rId2"/>
    <sheet name="Programas" sheetId="3" state="visible" r:id="rId3"/>
    <sheet name="Fichas" sheetId="4" state="visible" r:id="rId4"/>
    <sheet name="Cohortes" sheetId="5" state="visible" r:id="rId5"/>
    <sheet name="Riesgos" sheetId="6" state="visible" r:id="rId6"/>
    <sheet name="Predictivo" sheetId="7" state="visible" r:id="rId7"/>
    <sheet name="Diccionario" sheetId="8" state="visible" r:id="rId8"/>
    <sheet name="Notas" sheetId="9" state="visible" r:id="rId9"/>
  </sheets>
  <definedNames>
    <definedName name="_xlnm.Print_Area" localSheetId="0">'Portada'!$A$1:$N$34</definedName>
    <definedName name="_xlnm.Print_Area" localSheetId="1">'Resumen'!$A$1:$N$40</definedName>
    <definedName name="_xlnm.Print_Area" localSheetId="2">'Programas'!$A$1:$P$44</definedName>
    <definedName name="_xlnm.Print_Area" localSheetId="3">'Fichas'!$A$1:$W$65</definedName>
    <definedName name="_xlnm.Print_Area" localSheetId="4">'Cohortes'!$A$1:$L$62</definedName>
    <definedName name="_xlnm.Print_Area" localSheetId="5">'Riesgos'!$A$1:$M$80</definedName>
    <definedName name="_xlnm.Print_Area" localSheetId="6">'Predictivo'!$A$1:$N$172</definedName>
    <definedName name="_xlnm.Print_Area" localSheetId="7">'Diccionario'!$A$1:$D$221</definedName>
    <definedName name="_xlnm.Print_Area" localSheetId="8">'Notas'!$A$1:$J$52</definedName>
  </definedNames>
  <calcPr calcId="124519" fullCalcOnLoad="1"/>
</workbook>
</file>

<file path=xl/styles.xml><?xml version="1.0" encoding="utf-8"?>
<styleSheet xmlns="http://schemas.openxmlformats.org/spreadsheetml/2006/main">
  <numFmts count="5">
    <numFmt numFmtId="164" formatCode="0.0%"/>
    <numFmt numFmtId="165" formatCode="+0.0;-0.0;0.0"/>
    <numFmt numFmtId="166" formatCode="0.0"/>
    <numFmt numFmtId="167" formatCode="0.000"/>
    <numFmt numFmtId="168" formatCode="+0.000;-0.000;0.000"/>
  </numFmts>
  <fonts count="19">
    <font>
      <name val="Calibri"/>
      <family val="2"/>
      <color theme="1"/>
      <sz val="11"/>
      <scheme val="minor"/>
    </font>
    <font>
      <name val="Calibri"/>
      <b val="1"/>
      <color rgb="00FFFFFF"/>
      <sz val="30"/>
    </font>
    <font>
      <name val="Calibri"/>
      <color rgb="00C9D6DF"/>
      <sz val="11"/>
    </font>
    <font>
      <name val="Calibri"/>
      <b val="1"/>
      <color rgb="00FFFFFF"/>
      <sz val="10"/>
    </font>
    <font>
      <name val="Calibri"/>
      <b val="1"/>
      <color rgb="005B6B75"/>
      <sz val="9"/>
    </font>
    <font>
      <name val="Calibri"/>
      <b val="1"/>
      <color rgb="0000304D"/>
      <sz val="22"/>
    </font>
    <font>
      <name val="Calibri"/>
      <b val="1"/>
      <color rgb="00C62828"/>
      <sz val="22"/>
    </font>
    <font>
      <name val="Calibri"/>
      <b val="1"/>
      <color rgb="008E0000"/>
      <sz val="22"/>
    </font>
    <font>
      <name val="Calibri"/>
      <b val="1"/>
      <color rgb="00007832"/>
      <sz val="22"/>
    </font>
    <font>
      <name val="Calibri"/>
      <b val="1"/>
      <color rgb="00EF6C00"/>
      <sz val="22"/>
    </font>
    <font>
      <name val="Calibri"/>
      <b val="1"/>
      <color rgb="00FFFFFF"/>
      <sz val="11"/>
    </font>
    <font>
      <name val="Calibri"/>
      <b val="1"/>
      <color rgb="001B2A33"/>
      <sz val="10"/>
    </font>
    <font>
      <name val="Calibri"/>
      <color rgb="001B2A33"/>
      <sz val="10"/>
    </font>
    <font>
      <name val="Calibri"/>
      <color rgb="001B2A33"/>
      <sz val="9.5"/>
    </font>
    <font>
      <name val="Calibri"/>
      <color rgb="005B6B75"/>
      <sz val="9"/>
    </font>
    <font>
      <name val="Calibri"/>
      <b val="1"/>
      <color rgb="00FFFFFF"/>
      <sz val="22"/>
    </font>
    <font>
      <name val="Calibri"/>
      <i val="1"/>
      <color rgb="005B6B75"/>
      <sz val="9.5"/>
    </font>
    <font>
      <name val="Calibri"/>
      <b val="1"/>
      <color rgb="0000304D"/>
      <sz val="10"/>
    </font>
    <font>
      <name val="Calibri"/>
      <b val="1"/>
      <color rgb="00FFFFFF"/>
      <sz val="9"/>
    </font>
  </fonts>
  <fills count="12">
    <fill>
      <patternFill/>
    </fill>
    <fill>
      <patternFill patternType="gray125"/>
    </fill>
    <fill>
      <patternFill patternType="solid">
        <fgColor rgb="0000304D"/>
      </patternFill>
    </fill>
    <fill>
      <patternFill patternType="solid">
        <fgColor rgb="0039A900"/>
      </patternFill>
    </fill>
    <fill>
      <patternFill patternType="solid">
        <fgColor rgb="00FFFFFF"/>
      </patternFill>
    </fill>
    <fill>
      <patternFill patternType="solid">
        <fgColor rgb="00EF6C00"/>
      </patternFill>
    </fill>
    <fill>
      <patternFill patternType="solid">
        <fgColor rgb="00FFF3CD"/>
      </patternFill>
    </fill>
    <fill>
      <patternFill patternType="solid">
        <fgColor rgb="00546E7A"/>
      </patternFill>
    </fill>
    <fill>
      <patternFill patternType="solid">
        <fgColor rgb="00F3F6F8"/>
      </patternFill>
    </fill>
    <fill>
      <patternFill patternType="solid">
        <fgColor rgb="00E8EEF2"/>
      </patternFill>
    </fill>
    <fill>
      <patternFill patternType="solid">
        <fgColor rgb="00007832"/>
      </patternFill>
    </fill>
    <fill>
      <patternFill patternType="solid">
        <fgColor rgb="00F8FAFB"/>
      </patternFill>
    </fill>
  </fills>
  <borders count="8">
    <border>
      <left/>
      <right/>
      <top/>
      <bottom/>
      <diagonal/>
    </border>
    <border>
      <left style="thin">
        <color rgb="00D7E0E6"/>
      </left>
      <right style="thin">
        <color rgb="00D7E0E6"/>
      </right>
      <top style="thin">
        <color rgb="00D7E0E6"/>
      </top>
      <bottom style="thin">
        <color rgb="00D7E0E6"/>
      </bottom>
    </border>
    <border>
      <left style="thin">
        <color rgb="00D7E0E6"/>
      </left>
      <right style="thin">
        <color rgb="00D7E0E6"/>
      </right>
      <top style="thick">
        <color rgb="0000304D"/>
      </top>
      <bottom style="thin">
        <color rgb="00D7E0E6"/>
      </bottom>
    </border>
    <border>
      <left style="thin">
        <color rgb="00D7E0E6"/>
      </left>
      <right style="thin">
        <color rgb="00D7E0E6"/>
      </right>
      <top style="thick">
        <color rgb="00C62828"/>
      </top>
      <bottom style="thin">
        <color rgb="00D7E0E6"/>
      </bottom>
    </border>
    <border>
      <left style="thin">
        <color rgb="00D7E0E6"/>
      </left>
      <right style="thin">
        <color rgb="00D7E0E6"/>
      </right>
      <top style="thick">
        <color rgb="008E0000"/>
      </top>
      <bottom style="thin">
        <color rgb="00D7E0E6"/>
      </bottom>
    </border>
    <border>
      <left style="thin">
        <color rgb="00D7E0E6"/>
      </left>
      <right style="thin">
        <color rgb="00D7E0E6"/>
      </right>
      <top style="thick">
        <color rgb="00007832"/>
      </top>
      <bottom style="thin">
        <color rgb="00D7E0E6"/>
      </bottom>
    </border>
    <border>
      <left style="thin">
        <color rgb="00D7E0E6"/>
      </left>
      <right style="thin">
        <color rgb="00D7E0E6"/>
      </right>
      <top style="thick">
        <color rgb="00EF6C00"/>
      </top>
      <bottom style="thin">
        <color rgb="00D7E0E6"/>
      </bottom>
    </border>
    <border>
      <bottom style="thin">
        <color rgb="00D7E0E6"/>
      </bottom>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left" vertical="center" indent="2"/>
    </xf>
    <xf numFmtId="0" fontId="0" fillId="2" borderId="0" pivotButton="0" quotePrefix="0" xfId="0"/>
    <xf numFmtId="0" fontId="2" fillId="2" borderId="0" applyAlignment="1" pivotButton="0" quotePrefix="0" xfId="0">
      <alignment horizontal="left" vertical="center" indent="2"/>
    </xf>
    <xf numFmtId="0" fontId="3" fillId="3" borderId="0" applyAlignment="1" pivotButton="0" quotePrefix="0" xfId="0">
      <alignment horizontal="left" vertical="center" indent="2"/>
    </xf>
    <xf numFmtId="0" fontId="0" fillId="3" borderId="0" pivotButton="0" quotePrefix="0" xfId="0"/>
    <xf numFmtId="0" fontId="4" fillId="4" borderId="2" applyAlignment="1" pivotButton="0" quotePrefix="0" xfId="0">
      <alignment horizontal="center" vertical="center"/>
    </xf>
    <xf numFmtId="0" fontId="0" fillId="4" borderId="2" pivotButton="0" quotePrefix="0" xfId="0"/>
    <xf numFmtId="0" fontId="4" fillId="4" borderId="3" applyAlignment="1" pivotButton="0" quotePrefix="0" xfId="0">
      <alignment horizontal="center" vertical="center"/>
    </xf>
    <xf numFmtId="0" fontId="0" fillId="4" borderId="3" pivotButton="0" quotePrefix="0" xfId="0"/>
    <xf numFmtId="0" fontId="4" fillId="4" borderId="4" applyAlignment="1" pivotButton="0" quotePrefix="0" xfId="0">
      <alignment horizontal="center" vertical="center"/>
    </xf>
    <xf numFmtId="0" fontId="0" fillId="4" borderId="4" pivotButton="0" quotePrefix="0" xfId="0"/>
    <xf numFmtId="0" fontId="4" fillId="4" borderId="5" applyAlignment="1" pivotButton="0" quotePrefix="0" xfId="0">
      <alignment horizontal="center" vertical="center"/>
    </xf>
    <xf numFmtId="0" fontId="0" fillId="4" borderId="5" pivotButton="0" quotePrefix="0" xfId="0"/>
    <xf numFmtId="0" fontId="4" fillId="4" borderId="6" applyAlignment="1" pivotButton="0" quotePrefix="0" xfId="0">
      <alignment horizontal="center" vertical="center"/>
    </xf>
    <xf numFmtId="0" fontId="0" fillId="4" borderId="6" pivotButton="0" quotePrefix="0" xfId="0"/>
    <xf numFmtId="0" fontId="5" fillId="4" borderId="1" applyAlignment="1" pivotButton="0" quotePrefix="0" xfId="0">
      <alignment horizontal="center" vertical="center"/>
    </xf>
    <xf numFmtId="0" fontId="0" fillId="4" borderId="1" pivotButton="0" quotePrefix="0" xfId="0"/>
    <xf numFmtId="0" fontId="6" fillId="4" borderId="1" applyAlignment="1" pivotButton="0" quotePrefix="0" xfId="0">
      <alignment horizontal="center" vertical="center"/>
    </xf>
    <xf numFmtId="0" fontId="7" fillId="4" borderId="1" applyAlignment="1" pivotButton="0" quotePrefix="0" xfId="0">
      <alignment horizontal="center" vertical="center"/>
    </xf>
    <xf numFmtId="0" fontId="8" fillId="4" borderId="1" applyAlignment="1" pivotButton="0" quotePrefix="0" xfId="0">
      <alignment horizontal="center" vertical="center"/>
    </xf>
    <xf numFmtId="0" fontId="9" fillId="4" borderId="1" applyAlignment="1" pivotButton="0" quotePrefix="0" xfId="0">
      <alignment horizontal="center" vertical="center"/>
    </xf>
    <xf numFmtId="0" fontId="10" fillId="2" borderId="0" applyAlignment="1" pivotButton="0" quotePrefix="0" xfId="0">
      <alignment horizontal="left" vertical="center" indent="1"/>
    </xf>
    <xf numFmtId="0" fontId="11" fillId="0" borderId="1" pivotButton="0" quotePrefix="0" xfId="0"/>
    <xf numFmtId="0" fontId="12" fillId="0" borderId="1" applyAlignment="1" pivotButton="0" quotePrefix="0" xfId="0">
      <alignment horizontal="left" vertical="center" wrapText="1"/>
    </xf>
    <xf numFmtId="0" fontId="0" fillId="0" borderId="1" pivotButton="0" quotePrefix="0" xfId="0"/>
    <xf numFmtId="0" fontId="10" fillId="5" borderId="0" applyAlignment="1" pivotButton="0" quotePrefix="0" xfId="0">
      <alignment horizontal="left" vertical="center" indent="1"/>
    </xf>
    <xf numFmtId="0" fontId="0" fillId="5" borderId="0" pivotButton="0" quotePrefix="0" xfId="0"/>
    <xf numFmtId="0" fontId="13" fillId="6" borderId="1" applyAlignment="1" pivotButton="0" quotePrefix="0" xfId="0">
      <alignment horizontal="left" vertical="top" wrapText="1"/>
    </xf>
    <xf numFmtId="0" fontId="0" fillId="6" borderId="1" pivotButton="0" quotePrefix="0" xfId="0"/>
    <xf numFmtId="0" fontId="10" fillId="7" borderId="0" applyAlignment="1" pivotButton="0" quotePrefix="0" xfId="0">
      <alignment horizontal="left" vertical="center" indent="1"/>
    </xf>
    <xf numFmtId="0" fontId="0" fillId="7" borderId="0" pivotButton="0" quotePrefix="0" xfId="0"/>
    <xf numFmtId="0" fontId="13" fillId="8" borderId="1" applyAlignment="1" pivotButton="0" quotePrefix="0" xfId="0">
      <alignment horizontal="left" vertical="top" wrapText="1"/>
    </xf>
    <xf numFmtId="0" fontId="0" fillId="8" borderId="1" pivotButton="0" quotePrefix="0" xfId="0"/>
    <xf numFmtId="0" fontId="14" fillId="0" borderId="0" applyAlignment="1" pivotButton="0" quotePrefix="0" xfId="0">
      <alignment horizontal="left" vertical="center" wrapText="1"/>
    </xf>
    <xf numFmtId="0" fontId="15" fillId="2" borderId="0" applyAlignment="1" pivotButton="0" quotePrefix="0" xfId="0">
      <alignment horizontal="left" vertical="center" indent="1"/>
    </xf>
    <xf numFmtId="0" fontId="16" fillId="4" borderId="0" applyAlignment="1" pivotButton="0" quotePrefix="0" xfId="0">
      <alignment horizontal="left" vertical="center" indent="1"/>
    </xf>
    <xf numFmtId="0" fontId="0" fillId="4" borderId="0" pivotButton="0" quotePrefix="0" xfId="0"/>
    <xf numFmtId="0" fontId="17" fillId="9" borderId="1" applyAlignment="1" pivotButton="0" quotePrefix="0" xfId="0">
      <alignment horizontal="center" vertical="center" wrapText="1"/>
    </xf>
    <xf numFmtId="0" fontId="0" fillId="9" borderId="1" pivotButton="0" quotePrefix="0" xfId="0"/>
    <xf numFmtId="0" fontId="18" fillId="10" borderId="1" applyAlignment="1" pivotButton="0" quotePrefix="0" xfId="0">
      <alignment horizontal="center" vertical="center" wrapText="1"/>
    </xf>
    <xf numFmtId="0" fontId="12" fillId="11" borderId="1" applyAlignment="1" pivotButton="0" quotePrefix="0" xfId="0">
      <alignment horizontal="left" vertical="center" wrapText="1"/>
    </xf>
    <xf numFmtId="0" fontId="12" fillId="11" borderId="1" applyAlignment="1" pivotButton="0" quotePrefix="0" xfId="0">
      <alignment horizontal="right" vertical="center"/>
    </xf>
    <xf numFmtId="164" fontId="12" fillId="11" borderId="1" applyAlignment="1" pivotButton="0" quotePrefix="0" xfId="0">
      <alignment horizontal="right" vertical="center"/>
    </xf>
    <xf numFmtId="0" fontId="12" fillId="0" borderId="1" applyAlignment="1" pivotButton="0" quotePrefix="0" xfId="0">
      <alignment horizontal="right" vertical="center"/>
    </xf>
    <xf numFmtId="164" fontId="12" fillId="0" borderId="1" applyAlignment="1" pivotButton="0" quotePrefix="0" xfId="0">
      <alignment horizontal="right" vertical="center"/>
    </xf>
    <xf numFmtId="0" fontId="12" fillId="8" borderId="1" applyAlignment="1" pivotButton="0" quotePrefix="0" xfId="0">
      <alignment horizontal="left" vertical="top" wrapText="1"/>
    </xf>
    <xf numFmtId="0" fontId="12" fillId="0" borderId="7" applyAlignment="1" pivotButton="0" quotePrefix="0" xfId="0">
      <alignment horizontal="left" vertical="top" wrapText="1"/>
    </xf>
    <xf numFmtId="0" fontId="12" fillId="0" borderId="1" applyAlignment="1" pivotButton="0" quotePrefix="0" xfId="0">
      <alignment horizontal="center" vertical="center" wrapText="1"/>
    </xf>
    <xf numFmtId="165" fontId="12" fillId="0" borderId="1" applyAlignment="1" pivotButton="0" quotePrefix="0" xfId="0">
      <alignment horizontal="right" vertical="center"/>
    </xf>
    <xf numFmtId="0" fontId="12" fillId="11" borderId="1" applyAlignment="1" pivotButton="0" quotePrefix="0" xfId="0">
      <alignment horizontal="center" vertical="center" wrapText="1"/>
    </xf>
    <xf numFmtId="165" fontId="12" fillId="11" borderId="1" applyAlignment="1" pivotButton="0" quotePrefix="0" xfId="0">
      <alignment horizontal="right" vertical="center"/>
    </xf>
    <xf numFmtId="0" fontId="14" fillId="6" borderId="1" applyAlignment="1" pivotButton="0" quotePrefix="0" xfId="0">
      <alignment horizontal="left" vertical="top" wrapText="1"/>
    </xf>
    <xf numFmtId="166" fontId="12" fillId="0" borderId="1" applyAlignment="1" pivotButton="0" quotePrefix="0" xfId="0">
      <alignment horizontal="right" vertical="center"/>
    </xf>
    <xf numFmtId="166" fontId="12" fillId="11" borderId="1" applyAlignment="1" pivotButton="0" quotePrefix="0" xfId="0">
      <alignment horizontal="right" vertical="center"/>
    </xf>
    <xf numFmtId="0" fontId="11" fillId="0" borderId="7" pivotButton="0" quotePrefix="0" xfId="0"/>
    <xf numFmtId="0" fontId="0" fillId="0" borderId="7" pivotButton="0" quotePrefix="0" xfId="0"/>
    <xf numFmtId="167" fontId="12" fillId="11" borderId="1" applyAlignment="1" pivotButton="0" quotePrefix="0" xfId="0">
      <alignment horizontal="right" vertical="center"/>
    </xf>
    <xf numFmtId="168" fontId="12" fillId="11" borderId="1" applyAlignment="1" pivotButton="0" quotePrefix="0" xfId="0">
      <alignment horizontal="right" vertical="center"/>
    </xf>
    <xf numFmtId="167" fontId="12" fillId="0" borderId="1" applyAlignment="1" pivotButton="0" quotePrefix="0" xfId="0">
      <alignment horizontal="right" vertical="center"/>
    </xf>
    <xf numFmtId="168" fontId="12" fillId="0" borderId="1" applyAlignment="1" pivotButton="0" quotePrefix="0" xfId="0">
      <alignment horizontal="right" vertical="center"/>
    </xf>
  </cellXfs>
  <cellStyles count="1">
    <cellStyle name="Normal" xfId="0" builtinId="0" hidden="0"/>
  </cellStyles>
  <dxfs count="4">
    <dxf>
      <font>
        <name val="Calibri"/>
        <b val="1"/>
        <color rgb="008E0000"/>
        <sz val="10"/>
      </font>
      <fill>
        <patternFill patternType="solid">
          <fgColor rgb="00FDE2E1"/>
        </patternFill>
      </fill>
    </dxf>
    <dxf>
      <font>
        <name val="Calibri"/>
        <b val="1"/>
        <color rgb="00EF6C00"/>
        <sz val="10"/>
      </font>
      <fill>
        <patternFill patternType="solid">
          <fgColor rgb="00FCE4D6"/>
        </patternFill>
      </fill>
    </dxf>
    <dxf>
      <font>
        <name val="Calibri"/>
        <b val="1"/>
        <color rgb="007A5B00"/>
        <sz val="10"/>
      </font>
      <fill>
        <patternFill patternType="solid">
          <fgColor rgb="00FFF3CD"/>
        </patternFill>
      </fill>
    </dxf>
    <dxf>
      <font>
        <name val="Calibri"/>
        <b val="1"/>
        <color rgb="00007832"/>
        <sz val="10"/>
      </font>
      <fill>
        <patternFill patternType="solid">
          <fgColor rgb="00E6F4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style val="10"/>
  <chart>
    <title>
      <tx>
        <rich>
          <a:bodyPr/>
          <a:p>
            <a:pPr>
              <a:defRPr/>
            </a:pPr>
            <a:r>
              <a:t>Matrículas por estado</a:t>
            </a:r>
          </a:p>
        </rich>
      </tx>
    </title>
    <plotArea>
      <barChart>
        <barDir val="bar"/>
        <grouping val="clustered"/>
        <varyColors val="0"/>
        <ser>
          <idx val="0"/>
          <order val="0"/>
          <tx>
            <strRef>
              <f>'Resumen'!C9</f>
            </strRef>
          </tx>
          <spPr>
            <a:solidFill>
              <a:srgbClr val="39A900"/>
            </a:solidFill>
            <a:ln>
              <a:prstDash val="solid"/>
            </a:ln>
          </spPr>
          <cat>
            <strRef>
              <f>'Resumen'!$A$10:$A$16</f>
              <strCache>
                <ptCount val="7"/>
                <pt idx="0">
                  <v>EN FORMACION</v>
                </pt>
                <pt idx="1">
                  <v>CANCELADO</v>
                </pt>
                <pt idx="2">
                  <v>INDUCCION</v>
                </pt>
                <pt idx="3">
                  <v>RETIRO VOLUNTARIO</v>
                </pt>
                <pt idx="4">
                  <v>TRASLADADO</v>
                </pt>
                <pt idx="5">
                  <v>APLAZADO</v>
                </pt>
                <pt idx="6">
                  <v>CONDICIONADO</v>
                </pt>
              </strCache>
            </strRef>
          </cat>
          <val>
            <numRef>
              <f>'Resumen'!$C$10:$C$16</f>
            </numRef>
          </val>
        </ser>
        <dLbls>
          <dLblPos val="outEnd"/>
          <showLegendKey val="0"/>
          <showVal val="1"/>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a:p>
                <a:pPr>
                  <a:defRPr/>
                </a:pPr>
                <a:r>
                  <a:t>Matrículas</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2"/>
  <chart>
    <title>
      <tx>
        <rich>
          <a:bodyPr/>
          <a:p>
            <a:pPr>
              <a:defRPr/>
            </a:pPr>
            <a:r>
              <a:t>Tasa de pérdida por jornada</a:t>
            </a:r>
          </a:p>
        </rich>
      </tx>
    </title>
    <plotArea>
      <barChart>
        <barDir val="col"/>
        <grouping val="clustered"/>
        <varyColors val="0"/>
        <ser>
          <idx val="0"/>
          <order val="0"/>
          <tx>
            <strRef>
              <f>'Resumen'!D19</f>
            </strRef>
          </tx>
          <spPr>
            <a:solidFill>
              <a:srgbClr val="00304D"/>
            </a:solidFill>
            <a:ln>
              <a:prstDash val="solid"/>
            </a:ln>
          </spPr>
          <cat>
            <strRef>
              <f>'Resumen'!$A$20:$A$21</f>
              <strCache>
                <ptCount val="2"/>
                <pt idx="0">
                  <v>DIURNA</v>
                </pt>
                <pt idx="1">
                  <v>NOCTURNA</v>
                </pt>
              </strCache>
            </strRef>
          </cat>
          <val>
            <numRef>
              <f>'Resumen'!$D$20:$D$21</f>
            </numRef>
          </val>
        </ser>
        <dLbls>
          <numFmt formatCode="0.0%"/>
          <dLblPos val="outEnd"/>
          <showLegendKey val="0"/>
          <showVal val="1"/>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Tasa</a:t>
                </a:r>
              </a:p>
            </rich>
          </tx>
        </title>
        <numFmt formatCode="0%" sourceLinked="0"/>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Tasa de pérdida por programa (15)</a:t>
            </a:r>
          </a:p>
        </rich>
      </tx>
    </title>
    <plotArea>
      <barChart>
        <barDir val="bar"/>
        <grouping val="clustered"/>
        <varyColors val="0"/>
        <ser>
          <idx val="0"/>
          <order val="0"/>
          <tx>
            <strRef>
              <f>'Programas'!H4</f>
            </strRef>
          </tx>
          <spPr>
            <a:solidFill>
              <a:srgbClr val="39A900"/>
            </a:solidFill>
            <a:ln>
              <a:prstDash val="solid"/>
            </a:ln>
          </spPr>
          <cat>
            <strRef>
              <f>'Programas'!$B$5:$B$19</f>
              <strCache>
                <ptCount val="15"/>
                <pt idx="0">
                  <v>Procedimientos de Laboratorio</v>
                </pt>
                <pt idx="1">
                  <v>Análisis de Materiales</v>
                </pt>
                <pt idx="2">
                  <v>Química Aplicada</v>
                </pt>
                <pt idx="3">
                  <v>Moldes y Troqueles</v>
                </pt>
                <pt idx="4">
                  <v>Productos Plásticos</v>
                </pt>
                <pt idx="5">
                  <v>Sistemas Integrados de Gestión</v>
                </pt>
                <pt idx="6">
                  <v>Producción Industrial</v>
                </pt>
                <pt idx="7">
                  <v>Modelado 3D</v>
                </pt>
                <pt idx="8">
                  <v>Gestión de Proyectos</v>
                </pt>
                <pt idx="9">
                  <v>Componentes Mecánicos</v>
                </pt>
                <pt idx="10">
                  <v>Modelado de Productos</v>
                </pt>
                <pt idx="11">
                  <v>Monitoreo Ambiental</v>
                </pt>
                <pt idx="12">
                  <v>Alistamiento de Laboratorios</v>
                </pt>
                <pt idx="13">
                  <v>Transformación de Polímeros</v>
                </pt>
                <pt idx="14">
                  <v>Manufactura Baxter</v>
                </pt>
              </strCache>
            </strRef>
          </cat>
          <val>
            <numRef>
              <f>'Programas'!$H$5:$H$19</f>
            </numRef>
          </val>
        </ser>
        <gapWidth val="150"/>
        <axId val="10"/>
        <axId val="100"/>
      </barChart>
      <catAx>
        <axId val="10"/>
        <scaling>
          <orientation val="minMax"/>
        </scaling>
        <axPos val="l"/>
        <title>
          <tx>
            <rich>
              <a:bodyPr/>
              <a:p>
                <a:pPr>
                  <a:defRPr/>
                </a:pPr>
                <a:r>
                  <a:t>Tasa</a:t>
                </a:r>
              </a:p>
            </rich>
          </tx>
        </title>
        <numFmt formatCode="0%" sourceLinked="0"/>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3"/>
  <chart>
    <title>
      <tx>
        <rich>
          <a:bodyPr/>
          <a:p>
            <a:pPr>
              <a:defRPr/>
            </a:pPr>
            <a:r>
              <a:t>Matrículas vs tasa de pérdida</a:t>
            </a:r>
          </a:p>
        </rich>
      </tx>
    </title>
    <plotArea>
      <scatterChart>
        <scatterStyle val="marker"/>
        <ser>
          <idx val="0"/>
          <order val="0"/>
          <tx>
            <v>Programa</v>
          </tx>
          <spPr>
            <a:ln>
              <a:noFill/>
              <a:prstDash val="solid"/>
            </a:ln>
          </spPr>
          <marker>
            <symbol val="circle"/>
            <size val="7"/>
            <spPr>
              <a:ln>
                <a:prstDash val="solid"/>
              </a:ln>
            </spPr>
          </marker>
          <xVal>
            <numRef>
              <f>'Programas'!$F$5:$F$19</f>
            </numRef>
          </xVal>
          <yVal>
            <numRef>
              <f>'Programas'!$H$5:$H$19</f>
            </numRef>
          </yVal>
        </ser>
        <axId val="10"/>
        <axId val="20"/>
      </scatterChart>
      <valAx>
        <axId val="10"/>
        <scaling>
          <orientation val="minMax"/>
        </scaling>
        <axPos val="l"/>
        <majorGridlines/>
        <title>
          <tx>
            <rich>
              <a:bodyPr/>
              <a:p>
                <a:pPr>
                  <a:defRPr/>
                </a:pPr>
                <a:r>
                  <a:t>Matrículas</a:t>
                </a:r>
              </a:p>
            </rich>
          </tx>
        </title>
        <majorTickMark val="none"/>
        <minorTickMark val="none"/>
        <crossAx val="20"/>
      </valAx>
      <valAx>
        <axId val="20"/>
        <scaling>
          <orientation val="minMax"/>
        </scaling>
        <axPos val="l"/>
        <majorGridlines/>
        <title>
          <tx>
            <rich>
              <a:bodyPr/>
              <a:p>
                <a:pPr>
                  <a:defRPr/>
                </a:pPr>
                <a:r>
                  <a:t>Tasa de pérdida</a:t>
                </a:r>
              </a:p>
            </rich>
          </tx>
        </title>
        <numFmt formatCode="0%" sourceLinked="0"/>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style val="13"/>
  <chart>
    <title>
      <tx>
        <rich>
          <a:bodyPr/>
          <a:p>
            <a:pPr>
              <a:defRPr/>
            </a:pPr>
            <a:r>
              <a:t>Tamaño de ficha vs tasa de pérdida</a:t>
            </a:r>
          </a:p>
        </rich>
      </tx>
    </title>
    <plotArea>
      <scatterChart>
        <scatterStyle val="marker"/>
        <ser>
          <idx val="0"/>
          <order val="0"/>
          <tx>
            <v>Fichas</v>
          </tx>
          <spPr>
            <a:ln>
              <a:noFill/>
              <a:prstDash val="solid"/>
            </a:ln>
          </spPr>
          <marker>
            <symbol val="circle"/>
            <size val="6"/>
            <spPr>
              <a:ln>
                <a:prstDash val="solid"/>
              </a:ln>
            </spPr>
          </marker>
          <xVal>
            <numRef>
              <f>'Fichas'!$E$5:$E$60</f>
            </numRef>
          </xVal>
          <yVal>
            <numRef>
              <f>'Fichas'!$I$5:$I$60</f>
            </numRef>
          </yVal>
        </ser>
        <axId val="10"/>
        <axId val="20"/>
      </scatterChart>
      <valAx>
        <axId val="10"/>
        <scaling>
          <orientation val="minMax"/>
        </scaling>
        <axPos val="l"/>
        <majorGridlines/>
        <title>
          <tx>
            <rich>
              <a:bodyPr/>
              <a:p>
                <a:pPr>
                  <a:defRPr/>
                </a:pPr>
                <a:r>
                  <a:t>Matrículas</a:t>
                </a:r>
              </a:p>
            </rich>
          </tx>
        </title>
        <majorTickMark val="none"/>
        <minorTickMark val="none"/>
        <crossAx val="20"/>
      </valAx>
      <valAx>
        <axId val="20"/>
        <scaling>
          <orientation val="minMax"/>
        </scaling>
        <axPos val="l"/>
        <majorGridlines/>
        <title>
          <tx>
            <rich>
              <a:bodyPr/>
              <a:p>
                <a:pPr>
                  <a:defRPr/>
                </a:pPr>
                <a:r>
                  <a:t>Tasa de pérdida</a:t>
                </a:r>
              </a:p>
            </rich>
          </tx>
        </title>
        <numFmt formatCode="0%" sourceLinked="0"/>
        <majorTickMark val="none"/>
        <minorTickMark val="none"/>
        <crossAx val="10"/>
      </valAx>
    </plotArea>
    <plotVisOnly val="1"/>
    <dispBlanksAs val="gap"/>
  </chart>
</chartSpace>
</file>

<file path=xl/charts/chart6.xml><?xml version="1.0" encoding="utf-8"?>
<chartSpace xmlns:a="http://schemas.openxmlformats.org/drawingml/2006/main" xmlns="http://schemas.openxmlformats.org/drawingml/2006/chart">
  <style val="12"/>
  <chart>
    <title>
      <tx>
        <rich>
          <a:bodyPr/>
          <a:p>
            <a:pPr>
              <a:defRPr/>
            </a:pPr>
            <a:r>
              <a:t>Tasa de pérdida por generación</a:t>
            </a:r>
          </a:p>
        </rich>
      </tx>
    </title>
    <plotArea>
      <lineChart>
        <grouping val="standard"/>
        <ser>
          <idx val="0"/>
          <order val="0"/>
          <tx>
            <strRef>
              <f>'Cohortes'!F4</f>
            </strRef>
          </tx>
          <spPr>
            <a:ln>
              <a:prstDash val="solid"/>
            </a:ln>
          </spPr>
          <marker>
            <symbol val="none"/>
            <spPr>
              <a:ln>
                <a:prstDash val="solid"/>
              </a:ln>
            </spPr>
          </marker>
          <cat>
            <strRef>
              <f>'Cohortes'!$B$5:$B$21</f>
              <strCache>
                <ptCount val="17"/>
                <pt idx="0">
                  <v>Generación 314</v>
                </pt>
                <pt idx="1">
                  <v>Generación 317</v>
                </pt>
                <pt idx="2">
                  <v>Generación 318</v>
                </pt>
                <pt idx="3">
                  <v>Generación 323</v>
                </pt>
                <pt idx="4">
                  <v>Generación 330</v>
                </pt>
                <pt idx="5">
                  <v>Generación 331</v>
                </pt>
                <pt idx="6">
                  <v>Generación 335</v>
                </pt>
                <pt idx="7">
                  <v>Generación 340</v>
                </pt>
                <pt idx="8">
                  <v>Generación 341</v>
                </pt>
                <pt idx="9">
                  <v>Generación 343</v>
                </pt>
                <pt idx="10">
                  <v>Generación 344</v>
                </pt>
                <pt idx="11">
                  <v>Generación 345</v>
                </pt>
                <pt idx="12">
                  <v>Generación 346</v>
                </pt>
                <pt idx="13">
                  <v>Generación 349</v>
                </pt>
                <pt idx="14">
                  <v>Generación 353</v>
                </pt>
                <pt idx="15">
                  <v>Generación 356</v>
                </pt>
                <pt idx="16">
                  <v>Generación 358</v>
                </pt>
              </strCache>
            </strRef>
          </cat>
          <val>
            <numRef>
              <f>'Cohortes'!$F$5:$F$21</f>
            </numRef>
          </val>
        </ser>
        <marker val="1"/>
        <axId val="10"/>
        <axId val="100"/>
      </lineChart>
      <catAx>
        <axId val="10"/>
        <scaling>
          <orientation val="minMax"/>
        </scaling>
        <axPos val="l"/>
        <title>
          <tx>
            <rich>
              <a:bodyPr/>
              <a:p>
                <a:pPr>
                  <a:defRPr/>
                </a:pPr>
                <a:r>
                  <a:t>Generación (prefijo de ficha)</a:t>
                </a:r>
              </a:p>
            </rich>
          </tx>
        </title>
        <majorTickMark val="none"/>
        <minorTickMark val="none"/>
        <crossAx val="100"/>
        <lblOffset val="100"/>
      </catAx>
      <valAx>
        <axId val="100"/>
        <scaling>
          <orientation val="minMax"/>
        </scaling>
        <axPos val="l"/>
        <majorGridlines/>
        <title>
          <tx>
            <rich>
              <a:bodyPr/>
              <a:p>
                <a:pPr>
                  <a:defRPr/>
                </a:pPr>
                <a:r>
                  <a:t>Tasa de pérdida</a:t>
                </a:r>
              </a:p>
            </rich>
          </tx>
        </title>
        <numFmt formatCode="0%" sourceLinked="0"/>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style val="10"/>
  <chart>
    <title>
      <tx>
        <rich>
          <a:bodyPr/>
          <a:p>
            <a:pPr>
              <a:defRPr/>
            </a:pPr>
            <a:r>
              <a:t>Matrículas por generación</a:t>
            </a:r>
          </a:p>
        </rich>
      </tx>
    </title>
    <plotArea>
      <barChart>
        <barDir val="col"/>
        <grouping val="clustered"/>
        <varyColors val="0"/>
        <ser>
          <idx val="0"/>
          <order val="0"/>
          <tx>
            <strRef>
              <f>'Cohortes'!D4</f>
            </strRef>
          </tx>
          <spPr>
            <a:solidFill>
              <a:srgbClr val="00304D"/>
            </a:solidFill>
            <a:ln>
              <a:prstDash val="solid"/>
            </a:ln>
          </spPr>
          <cat>
            <strRef>
              <f>'Cohortes'!$B$5:$B$21</f>
              <strCache>
                <ptCount val="17"/>
                <pt idx="0">
                  <v>Generación 314</v>
                </pt>
                <pt idx="1">
                  <v>Generación 317</v>
                </pt>
                <pt idx="2">
                  <v>Generación 318</v>
                </pt>
                <pt idx="3">
                  <v>Generación 323</v>
                </pt>
                <pt idx="4">
                  <v>Generación 330</v>
                </pt>
                <pt idx="5">
                  <v>Generación 331</v>
                </pt>
                <pt idx="6">
                  <v>Generación 335</v>
                </pt>
                <pt idx="7">
                  <v>Generación 340</v>
                </pt>
                <pt idx="8">
                  <v>Generación 341</v>
                </pt>
                <pt idx="9">
                  <v>Generación 343</v>
                </pt>
                <pt idx="10">
                  <v>Generación 344</v>
                </pt>
                <pt idx="11">
                  <v>Generación 345</v>
                </pt>
                <pt idx="12">
                  <v>Generación 346</v>
                </pt>
                <pt idx="13">
                  <v>Generación 349</v>
                </pt>
                <pt idx="14">
                  <v>Generación 353</v>
                </pt>
                <pt idx="15">
                  <v>Generación 356</v>
                </pt>
                <pt idx="16">
                  <v>Generación 358</v>
                </pt>
              </strCache>
            </strRef>
          </cat>
          <val>
            <numRef>
              <f>'Cohortes'!$D$5:$D$21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Matrículas</a:t>
                </a:r>
              </a:p>
            </rich>
          </tx>
        </title>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style val="10"/>
  <chart>
    <title>
      <tx>
        <rich>
          <a:bodyPr/>
          <a:p>
            <a:pPr>
              <a:defRPr/>
            </a:pPr>
            <a:r>
              <a:t>Fichas por nivel de riesgo</a:t>
            </a:r>
          </a:p>
        </rich>
      </tx>
    </title>
    <plotArea>
      <barChart>
        <barDir val="col"/>
        <grouping val="clustered"/>
        <ser>
          <idx val="0"/>
          <order val="0"/>
          <tx>
            <strRef>
              <f>'Riesgos'!B4</f>
            </strRef>
          </tx>
          <spPr>
            <a:ln>
              <a:prstDash val="solid"/>
            </a:ln>
          </spPr>
          <cat>
            <strRef>
              <f>'Riesgos'!$A$5:$A$8</f>
              <strCache>
                <ptCount val="4"/>
                <pt idx="0">
                  <v>Bajo</v>
                </pt>
                <pt idx="1">
                  <v>Medio</v>
                </pt>
                <pt idx="2">
                  <v>Alto</v>
                </pt>
                <pt idx="3">
                  <v>Crítico</v>
                </pt>
              </strCache>
            </strRef>
          </cat>
          <val>
            <numRef>
              <f>'Riesgos'!$B$5:$B$8</f>
            </numRef>
          </val>
        </ser>
        <dLbls>
          <dLblPos val="outEnd"/>
          <showLegendKey val="0"/>
          <showVal val="1"/>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Fichas</a:t>
                </a:r>
              </a:p>
            </rich>
          </tx>
        </title>
        <majorTickMark val="none"/>
        <minorTickMark val="none"/>
        <crossAx val="10"/>
      </valAx>
    </plotArea>
    <plotVisOnly val="1"/>
    <dispBlanksAs val="gap"/>
  </chart>
</chartSpace>
</file>

<file path=xl/charts/chart9.xml><?xml version="1.0" encoding="utf-8"?>
<chartSpace xmlns:a="http://schemas.openxmlformats.org/drawingml/2006/main" xmlns="http://schemas.openxmlformats.org/drawingml/2006/chart">
  <style val="12"/>
  <chart>
    <title>
      <tx>
        <rich>
          <a:bodyPr/>
          <a:p>
            <a:pPr>
              <a:defRPr/>
            </a:pPr>
            <a:r>
              <a:t>Calibración: probabilidad media vs tasa observada</a:t>
            </a:r>
          </a:p>
        </rich>
      </tx>
    </title>
    <plotArea>
      <lineChart>
        <grouping val="standard"/>
        <ser>
          <idx val="0"/>
          <order val="0"/>
          <tx>
            <strRef>
              <f>'Predictivo'!C27</f>
            </strRef>
          </tx>
          <spPr>
            <a:ln>
              <a:prstDash val="solid"/>
            </a:ln>
          </spPr>
          <marker>
            <symbol val="none"/>
            <spPr>
              <a:ln>
                <a:prstDash val="solid"/>
              </a:ln>
            </spPr>
          </marker>
          <cat>
            <numRef>
              <f>'Predictivo'!$A$28:$A$37</f>
            </numRef>
          </cat>
          <val>
            <numRef>
              <f>'Predictivo'!$C$28:$C$37</f>
            </numRef>
          </val>
        </ser>
        <ser>
          <idx val="1"/>
          <order val="1"/>
          <tx>
            <strRef>
              <f>'Predictivo'!D27</f>
            </strRef>
          </tx>
          <spPr>
            <a:ln>
              <a:prstDash val="solid"/>
            </a:ln>
          </spPr>
          <marker>
            <symbol val="none"/>
            <spPr>
              <a:ln>
                <a:prstDash val="solid"/>
              </a:ln>
            </spPr>
          </marker>
          <cat>
            <numRef>
              <f>'Predictivo'!$A$28:$A$37</f>
            </numRef>
          </cat>
          <val>
            <numRef>
              <f>'Predictivo'!$D$28:$D$37</f>
            </numRef>
          </val>
        </ser>
        <marker val="1"/>
        <axId val="10"/>
        <axId val="100"/>
      </lineChart>
      <catAx>
        <axId val="10"/>
        <scaling>
          <orientation val="minMax"/>
        </scaling>
        <axPos val="l"/>
        <title>
          <tx>
            <rich>
              <a:bodyPr/>
              <a:p>
                <a:pPr>
                  <a:defRPr/>
                </a:pPr>
                <a:r>
                  <a:t>Decil de probabilidad</a:t>
                </a:r>
              </a:p>
            </rich>
          </tx>
        </title>
        <majorTickMark val="none"/>
        <minorTickMark val="none"/>
        <crossAx val="100"/>
        <lblOffset val="100"/>
      </catAx>
      <valAx>
        <axId val="100"/>
        <scaling>
          <orientation val="minMax"/>
        </scaling>
        <axPos val="l"/>
        <majorGridlines/>
        <title>
          <tx>
            <rich>
              <a:bodyPr/>
              <a:p>
                <a:pPr>
                  <a:defRPr/>
                </a:pPr>
                <a:r>
                  <a:t>Tasa</a:t>
                </a:r>
              </a:p>
            </rich>
          </tx>
        </title>
        <numFmt formatCode="0%" sourceLinked="0"/>
        <majorTickMark val="none"/>
        <minorTickMark val="none"/>
        <crossAx val="10"/>
      </valAx>
    </plotArea>
    <legend>
      <legendPos val="r"/>
    </legend>
    <plotVisOnly val="1"/>
    <dispBlanksAs val="gap"/>
  </chart>
</chartSpace>
</file>

<file path=xl/charts/chart10.xml><?xml version="1.0" encoding="utf-8"?>
<chartSpace xmlns:a="http://schemas.openxmlformats.org/drawingml/2006/main" xmlns="http://schemas.openxmlformats.org/drawingml/2006/chart">
  <style val="10"/>
  <chart>
    <title>
      <tx>
        <rich>
          <a:bodyPr/>
          <a:p>
            <a:pPr>
              <a:defRPr/>
            </a:pPr>
            <a:r>
              <a:t>Población proyectada por escenario</a:t>
            </a:r>
          </a:p>
        </rich>
      </tx>
    </title>
    <plotArea>
      <barChart>
        <barDir val="col"/>
        <grouping val="clustered"/>
        <ser>
          <idx val="0"/>
          <order val="0"/>
          <tx>
            <strRef>
              <f>'Predictivo'!D41</f>
            </strRef>
          </tx>
          <spPr>
            <a:ln>
              <a:prstDash val="solid"/>
            </a:ln>
          </spPr>
          <cat>
            <strRef>
              <f>'Predictivo'!$A$42:$A$44</f>
              <strCache>
                <ptCount val="3"/>
                <pt idx="0">
                  <v>Optimista</v>
                </pt>
                <pt idx="1">
                  <v>Base</v>
                </pt>
                <pt idx="2">
                  <v>Pesimista</v>
                </pt>
              </strCache>
            </strRef>
          </cat>
          <val>
            <numRef>
              <f>'Predictivo'!$D$42:$D$44</f>
            </numRef>
          </val>
        </ser>
        <dLbls>
          <dLblPos val="outEnd"/>
          <showLegendKey val="0"/>
          <showVal val="1"/>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Aprendices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s>
</file>

<file path=xl/drawings/_rels/drawing3.xml.rels><Relationships xmlns="http://schemas.openxmlformats.org/package/2006/relationships"><Relationship Type="http://schemas.openxmlformats.org/officeDocument/2006/relationships/chart" Target="/xl/charts/chart5.xml" Id="rId1" /></Relationships>
</file>

<file path=xl/drawings/_rels/drawing4.xml.rels><Relationships xmlns="http://schemas.openxmlformats.org/package/2006/relationships"><Relationship Type="http://schemas.openxmlformats.org/officeDocument/2006/relationships/chart" Target="/xl/charts/chart6.xml" Id="rId1" /><Relationship Type="http://schemas.openxmlformats.org/officeDocument/2006/relationships/chart" Target="/xl/charts/chart7.xml" Id="rId2" /></Relationships>
</file>

<file path=xl/drawings/_rels/drawing5.xml.rels><Relationships xmlns="http://schemas.openxmlformats.org/package/2006/relationships"><Relationship Type="http://schemas.openxmlformats.org/officeDocument/2006/relationships/chart" Target="/xl/charts/chart8.xml" Id="rId1" /></Relationships>
</file>

<file path=xl/drawings/_rels/drawing6.xml.rels><Relationships xmlns="http://schemas.openxmlformats.org/package/2006/relationships"><Relationship Type="http://schemas.openxmlformats.org/officeDocument/2006/relationships/chart" Target="/xl/charts/chart9.xml" Id="rId1" /><Relationship Type="http://schemas.openxmlformats.org/officeDocument/2006/relationships/chart" Target="/xl/charts/chart10.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15</col>
      <colOff>0</colOff>
      <row>3</row>
      <rowOff>0</rowOff>
    </from>
    <ext cx="5580000" cy="2951999"/>
    <graphicFrame>
      <nvGraphicFramePr>
        <cNvPr id="1" name="Chart 1"/>
        <cNvGraphicFramePr/>
      </nvGraphicFramePr>
      <xfrm/>
      <a:graphic>
        <a:graphicData uri="http://schemas.openxmlformats.org/drawingml/2006/chart">
          <c:chart r:id="rId1"/>
        </a:graphicData>
      </a:graphic>
    </graphicFrame>
    <clientData/>
  </oneCellAnchor>
  <oneCellAnchor>
    <from>
      <col>15</col>
      <colOff>0</colOff>
      <row>21</row>
      <rowOff>0</rowOff>
    </from>
    <ext cx="3960000" cy="2592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27</row>
      <rowOff>0</rowOff>
    </from>
    <ext cx="7560000" cy="4680000"/>
    <graphicFrame>
      <nvGraphicFramePr>
        <cNvPr id="1" name="Chart 1"/>
        <cNvGraphicFramePr/>
      </nvGraphicFramePr>
      <xfrm/>
      <a:graphic>
        <a:graphicData uri="http://schemas.openxmlformats.org/drawingml/2006/chart">
          <c:chart r:id="rId1"/>
        </a:graphicData>
      </a:graphic>
    </graphicFrame>
    <clientData/>
  </oneCellAnchor>
  <oneCellAnchor>
    <from>
      <col>14</col>
      <colOff>0</colOff>
      <row>12</row>
      <rowOff>0</rowOff>
    </from>
    <ext cx="6120000" cy="396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18</col>
      <colOff>0</colOff>
      <row>3</row>
      <rowOff>0</rowOff>
    </from>
    <ext cx="612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23</row>
      <rowOff>0</rowOff>
    </from>
    <ext cx="8280000" cy="36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43</row>
      <rowOff>0</rowOff>
    </from>
    <ext cx="8280000" cy="36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25</row>
      <rowOff>0</rowOff>
    </from>
    <ext cx="5760000" cy="234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39</row>
      <rowOff>0</rowOff>
    </from>
    <ext cx="4320000" cy="198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Estados" displayName="tblEstados" ref="A9:E16" headerRowCount="1">
  <autoFilter ref="A9:E16"/>
  <tableColumns count="5">
    <tableColumn id="1" name="Estado"/>
    <tableColumn id="2" name="Categoría"/>
    <tableColumn id="3" name="Matrículas"/>
    <tableColumn id="4" name="% del total"/>
    <tableColumn id="5" name="Pérdidas"/>
  </tableColumns>
  <tableStyleInfo name="TableStyleMedium2" showRowStripes="1" showColumnStripes="0"/>
</table>
</file>

<file path=xl/tables/table2.xml><?xml version="1.0" encoding="utf-8"?>
<table xmlns="http://schemas.openxmlformats.org/spreadsheetml/2006/main" id="2" name="tblJornada" displayName="tblJornada" ref="A19:F21" headerRowCount="1">
  <autoFilter ref="A19:F21"/>
  <tableColumns count="6">
    <tableColumn id="1" name="Jornada"/>
    <tableColumn id="2" name="Matrículas"/>
    <tableColumn id="3" name="Pérdidas"/>
    <tableColumn id="4" name="Tasa de pérdida"/>
    <tableColumn id="5" name="IC 95% inferior"/>
    <tableColumn id="6" name="IC 95% superior"/>
  </tableColumns>
  <tableStyleInfo name="TableStyleMedium2" showRowStripes="1" showColumnStripes="0"/>
</table>
</file>

<file path=xl/tables/table3.xml><?xml version="1.0" encoding="utf-8"?>
<table xmlns="http://schemas.openxmlformats.org/spreadsheetml/2006/main" id="3" name="tblProgramas" displayName="tblProgramas" ref="A4:M19" headerRowCount="1">
  <autoFilter ref="A4:M19"/>
  <tableColumns count="13">
    <tableColumn id="1" name="Ranking"/>
    <tableColumn id="2" name="Programa"/>
    <tableColumn id="3" name="Línea tecnológica"/>
    <tableColumn id="4" name="Nivel"/>
    <tableColumn id="5" name="Fichas"/>
    <tableColumn id="6" name="Matrículas"/>
    <tableColumn id="7" name="Pérdidas"/>
    <tableColumn id="8" name="Tasa de pérdida"/>
    <tableColumn id="9" name="IC 95% inf."/>
    <tableColumn id="10" name="IC 95% sup."/>
    <tableColumn id="11" name="Tasa ajustada EB"/>
    <tableColumn id="12" name="Brecha vs global (pp)"/>
    <tableColumn id="13" name="Participación"/>
  </tableColumns>
  <tableStyleInfo name="TableStyleMedium2" showRowStripes="1" showColumnStripes="0"/>
</table>
</file>

<file path=xl/tables/table4.xml><?xml version="1.0" encoding="utf-8"?>
<table xmlns="http://schemas.openxmlformats.org/spreadsheetml/2006/main" id="4" name="tblFichas" displayName="tblFichas" ref="A4:Q60" headerRowCount="1">
  <autoFilter ref="A4:Q60"/>
  <tableColumns count="17">
    <tableColumn id="1" name="Ficha"/>
    <tableColumn id="2" name="Programa"/>
    <tableColumn id="3" name="Jornada"/>
    <tableColumn id="4" name="Generación"/>
    <tableColumn id="5" name="Matrículas"/>
    <tableColumn id="6" name="Vinculados"/>
    <tableColumn id="7" name="Cancelados"/>
    <tableColumn id="8" name="Retiros"/>
    <tableColumn id="9" name="Tasa de pérdida"/>
    <tableColumn id="10" name="Índice de riesgo"/>
    <tableColumn id="11" name="Nivel de riesgo"/>
    <tableColumn id="12" name="Ranking"/>
    <tableColumn id="13" name="Prob. pérdida ficha"/>
    <tableColumn id="14" name="IC 95% inf."/>
    <tableColumn id="15" name="IC 95% sup."/>
    <tableColumn id="16" name="Prioridad"/>
    <tableColumn id="17" name="Alerta principal"/>
  </tableColumns>
  <tableStyleInfo name="TableStyleMedium2" showRowStripes="1" showColumnStripes="0"/>
</table>
</file>

<file path=xl/tables/table5.xml><?xml version="1.0" encoding="utf-8"?>
<table xmlns="http://schemas.openxmlformats.org/spreadsheetml/2006/main" id="5" name="tblGeneraciones" displayName="tblGeneraciones" ref="A4:F21" headerRowCount="1">
  <autoFilter ref="A4:F21"/>
  <tableColumns count="6">
    <tableColumn id="1" name="Orden"/>
    <tableColumn id="2" name="Generación"/>
    <tableColumn id="3" name="Fichas"/>
    <tableColumn id="4" name="Matrículas"/>
    <tableColumn id="5" name="Pérdidas"/>
    <tableColumn id="6" name="Tasa de pérdida"/>
  </tableColumns>
  <tableStyleInfo name="TableStyleMedium2" showRowStripes="1" showColumnStripes="0"/>
</table>
</file>

<file path=xl/tables/table6.xml><?xml version="1.0" encoding="utf-8"?>
<table xmlns="http://schemas.openxmlformats.org/spreadsheetml/2006/main" id="6" name="tblBandas" displayName="tblBandas" ref="A4:E8" headerRowCount="1">
  <autoFilter ref="A4:E8"/>
  <tableColumns count="5">
    <tableColumn id="1" name="Nivel"/>
    <tableColumn id="2" name="Fichas"/>
    <tableColumn id="3" name="Matrículas"/>
    <tableColumn id="4" name="Pérdidas"/>
    <tableColumn id="5" name="Tasa observada"/>
  </tableColumns>
  <tableStyleInfo name="TableStyleMedium2" showRowStripes="1" showColumnStripes="0"/>
</table>
</file>

<file path=xl/tables/table7.xml><?xml version="1.0" encoding="utf-8"?>
<table xmlns="http://schemas.openxmlformats.org/spreadsheetml/2006/main" id="7" name="tblFichasRiesgo" displayName="tblFichasRiesgo" ref="A17:M73" headerRowCount="1">
  <autoFilter ref="A17:M73"/>
  <tableColumns count="13">
    <tableColumn id="1" name="Ranking"/>
    <tableColumn id="2" name="Ficha"/>
    <tableColumn id="3" name="Programa"/>
    <tableColumn id="4" name="Jornada"/>
    <tableColumn id="5" name="Matrículas"/>
    <tableColumn id="6" name="Pérdidas"/>
    <tableColumn id="7" name="Tasa observada"/>
    <tableColumn id="8" name="Índice"/>
    <tableColumn id="9" name="Nivel"/>
    <tableColumn id="10" name="Prob. ficha"/>
    <tableColumn id="11" name="IC inf."/>
    <tableColumn id="12" name="IC sup."/>
    <tableColumn id="13" name="Prioridad"/>
  </tableColumns>
  <tableStyleInfo name="TableStyleMedium2" showRowStripes="1" showColumnStripes="0"/>
</table>
</file>

<file path=xl/tables/table8.xml><?xml version="1.0" encoding="utf-8"?>
<table xmlns="http://schemas.openxmlformats.org/spreadsheetml/2006/main" id="8" name="tblMetricas" displayName="tblMetricas" ref="A4:C12" headerRowCount="1">
  <autoFilter ref="A4:C12"/>
  <tableColumns count="3">
    <tableColumn id="1" name="Métrica"/>
    <tableColumn id="2" name="Valor"/>
    <tableColumn id="3" name="Lectura"/>
  </tableColumns>
  <tableStyleInfo name="TableStyleMedium2" showRowStripes="1" showColumnStripes="0"/>
</table>
</file>

<file path=xl/tables/table9.xml><?xml version="1.0" encoding="utf-8"?>
<table xmlns="http://schemas.openxmlformats.org/spreadsheetml/2006/main" id="9" name="tblComparacion" displayName="tblComparacion" ref="A21:D24" headerRowCount="1">
  <autoFilter ref="A21:D24"/>
  <tableColumns count="4">
    <tableColumn id="1" name="Especificación"/>
    <tableColumn id="2" name="AUC"/>
    <tableColumn id="3" name="Brier"/>
    <tableColumn id="4" name="Ganancia vs azar"/>
  </tableColumns>
  <tableStyleInfo name="TableStyleMedium2" showRowStripes="1" showColumnStripes="0"/>
</table>
</file>

<file path=xl/tables/table10.xml><?xml version="1.0" encoding="utf-8"?>
<table xmlns="http://schemas.openxmlformats.org/spreadsheetml/2006/main" id="10" name="tblCalibracion" displayName="tblCalibracion" ref="A27:E37" headerRowCount="1">
  <autoFilter ref="A27:E37"/>
  <tableColumns count="5">
    <tableColumn id="1" name="Decil"/>
    <tableColumn id="2" name="n"/>
    <tableColumn id="3" name="Probabilidad media"/>
    <tableColumn id="4" name="Tasa observada"/>
    <tableColumn id="5" name="Brecha (pp)"/>
  </tableColumns>
  <tableStyleInfo name="TableStyleMedium2" showRowStripes="1" showColumnStripes="0"/>
</table>
</file>

<file path=xl/tables/table11.xml><?xml version="1.0" encoding="utf-8"?>
<table xmlns="http://schemas.openxmlformats.org/spreadsheetml/2006/main" id="11" name="tblProyeccion" displayName="tblProyeccion" ref="A41:E44" headerRowCount="1">
  <autoFilter ref="A41:E44"/>
  <tableColumns count="5">
    <tableColumn id="1" name="Escenario"/>
    <tableColumn id="2" name="Población vinculada"/>
    <tableColumn id="3" name="Pérdida adicional"/>
    <tableColumn id="4" name="Población proyectada"/>
    <tableColumn id="5" name="Tasa proyectada"/>
  </tableColumns>
  <tableStyleInfo name="TableStyleMedium2" showRowStripes="1" showColumnStripes="0"/>
</table>
</file>

<file path=xl/tables/table12.xml><?xml version="1.0" encoding="utf-8"?>
<table xmlns="http://schemas.openxmlformats.org/spreadsheetml/2006/main" id="12" name="tblTopFichas" displayName="tblTopFichas" ref="A50:K65" headerRowCount="1">
  <autoFilter ref="A50:K65"/>
  <tableColumns count="11">
    <tableColumn id="1" name="Ranking"/>
    <tableColumn id="2" name="Ficha"/>
    <tableColumn id="3" name="Jornada"/>
    <tableColumn id="4" name="Generación"/>
    <tableColumn id="5" name="n"/>
    <tableColumn id="6" name="Pérdidas"/>
    <tableColumn id="7" name="Tasa observada"/>
    <tableColumn id="8" name="Prob. posterior"/>
    <tableColumn id="9" name="IC 95% inf."/>
    <tableColumn id="10" name="IC 95% sup."/>
    <tableColumn id="11" name="Nivel"/>
  </tableColumns>
  <tableStyleInfo name="TableStyleMedium2" showRowStripes="1" showColumnStripes="0"/>
</table>
</file>

<file path=xl/tables/table13.xml><?xml version="1.0" encoding="utf-8"?>
<table xmlns="http://schemas.openxmlformats.org/spreadsheetml/2006/main" id="13" name="tblPrioridad" displayName="tblPrioridad" ref="A68:J168" headerRowCount="1">
  <autoFilter ref="A68:J168"/>
  <tableColumns count="10">
    <tableColumn id="1" name="#"/>
    <tableColumn id="2" name="Aprendiz (hash)"/>
    <tableColumn id="3" name="Ficha"/>
    <tableColumn id="4" name="Programa"/>
    <tableColumn id="5" name="Jornada"/>
    <tableColumn id="6" name="Prob. estimada"/>
    <tableColumn id="7" name="Percentil"/>
    <tableColumn id="8" name="Alerta"/>
    <tableColumn id="9" name="Prioridad"/>
    <tableColumn id="10" name="Motivo"/>
  </tableColumns>
  <tableStyleInfo name="TableStyleMedium2" showRowStripes="1" showColumnStripes="0"/>
</table>
</file>

<file path=xl/tables/table14.xml><?xml version="1.0" encoding="utf-8"?>
<table xmlns="http://schemas.openxmlformats.org/spreadsheetml/2006/main" id="14" name="tblTablas" displayName="tblTablas" ref="A4:E18" headerRowCount="1">
  <autoFilter ref="A4:E18"/>
  <tableColumns count="5">
    <tableColumn id="1" name="Tabla"/>
    <tableColumn id="2" name="Grano"/>
    <tableColumn id="3" name="Filas"/>
    <tableColumn id="4" name="Tipo"/>
    <tableColumn id="5" name="Nota"/>
  </tableColumns>
  <tableStyleInfo name="TableStyleMedium2" showRowStripes="1" showColumnStripes="0"/>
</table>
</file>

<file path=xl/tables/table15.xml><?xml version="1.0" encoding="utf-8"?>
<table xmlns="http://schemas.openxmlformats.org/spreadsheetml/2006/main" id="15" name="tblColumnas" displayName="tblColumnas" ref="A23:D217" headerRowCount="1">
  <autoFilter ref="A23:D217"/>
  <tableColumns count="4">
    <tableColumn id="1" name="Tabla"/>
    <tableColumn id="2" name="Columna"/>
    <tableColumn id="3" name="Tipo"/>
    <tableColumn id="4" name="Descripció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 Type="http://schemas.openxmlformats.org/officeDocument/2006/relationships/table" Target="/xl/tables/table2.xml" Id="rId3"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3.xml" Id="rId2" /></Relationships>
</file>

<file path=xl/worksheets/_rels/sheet4.xml.rels><Relationships xmlns="http://schemas.openxmlformats.org/package/2006/relationships"><Relationship Type="http://schemas.openxmlformats.org/officeDocument/2006/relationships/drawing" Target="/xl/drawings/drawing3.xml" Id="rId1" /><Relationship Type="http://schemas.openxmlformats.org/officeDocument/2006/relationships/table" Target="/xl/tables/table4.xml" Id="rId2" /></Relationships>
</file>

<file path=xl/worksheets/_rels/sheet5.xml.rels><Relationships xmlns="http://schemas.openxmlformats.org/package/2006/relationships"><Relationship Type="http://schemas.openxmlformats.org/officeDocument/2006/relationships/drawing" Target="/xl/drawings/drawing4.xml" Id="rId1" /><Relationship Type="http://schemas.openxmlformats.org/officeDocument/2006/relationships/table" Target="/xl/tables/table5.xml" Id="rId2" /></Relationships>
</file>

<file path=xl/worksheets/_rels/sheet6.xml.rels><Relationships xmlns="http://schemas.openxmlformats.org/package/2006/relationships"><Relationship Type="http://schemas.openxmlformats.org/officeDocument/2006/relationships/drawing" Target="/xl/drawings/drawing5.xml" Id="rId1" /><Relationship Type="http://schemas.openxmlformats.org/officeDocument/2006/relationships/table" Target="/xl/tables/table6.xml" Id="rId2" /><Relationship Type="http://schemas.openxmlformats.org/officeDocument/2006/relationships/table" Target="/xl/tables/table7.xml" Id="rId3" /></Relationships>
</file>

<file path=xl/worksheets/_rels/sheet7.xml.rels><Relationships xmlns="http://schemas.openxmlformats.org/package/2006/relationships"><Relationship Type="http://schemas.openxmlformats.org/officeDocument/2006/relationships/drawing" Target="/xl/drawings/drawing6.xml" Id="rId1" /><Relationship Type="http://schemas.openxmlformats.org/officeDocument/2006/relationships/table" Target="/xl/tables/table8.xml" Id="rId2" /><Relationship Type="http://schemas.openxmlformats.org/officeDocument/2006/relationships/table" Target="/xl/tables/table9.xml" Id="rId3" /><Relationship Type="http://schemas.openxmlformats.org/officeDocument/2006/relationships/table" Target="/xl/tables/table10.xml" Id="rId4" /><Relationship Type="http://schemas.openxmlformats.org/officeDocument/2006/relationships/table" Target="/xl/tables/table11.xml" Id="rId5" /><Relationship Type="http://schemas.openxmlformats.org/officeDocument/2006/relationships/table" Target="/xl/tables/table12.xml" Id="rId6" /><Relationship Type="http://schemas.openxmlformats.org/officeDocument/2006/relationships/table" Target="/xl/tables/table13.xml" Id="rId7" /></Relationships>
</file>

<file path=xl/worksheets/_rels/sheet8.xml.rels><Relationships xmlns="http://schemas.openxmlformats.org/package/2006/relationships"><Relationship Type="http://schemas.openxmlformats.org/officeDocument/2006/relationships/table" Target="/xl/tables/table14.xml" Id="rId1" /><Relationship Type="http://schemas.openxmlformats.org/officeDocument/2006/relationships/table" Target="/xl/tables/table15.xml" Id="rId2" /></Relationships>
</file>

<file path=xl/worksheets/sheet1.xml><?xml version="1.0" encoding="utf-8"?>
<worksheet xmlns="http://schemas.openxmlformats.org/spreadsheetml/2006/main">
  <sheetPr>
    <outlinePr summaryBelow="1" summaryRight="1"/>
    <pageSetUpPr fitToPage="1"/>
  </sheetPr>
  <dimension ref="A2:N34"/>
  <sheetViews>
    <sheetView showGridLines="0" workbookViewId="0">
      <selection activeCell="A1" sqref="A1"/>
    </sheetView>
  </sheetViews>
  <sheetFormatPr baseColWidth="8" defaultRowHeight="15"/>
  <cols>
    <col width="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2">
      <c r="B2" s="1" t="inlineStr">
        <is>
          <t>Caracterización de Aprendices Centro ASTIN</t>
        </is>
      </c>
      <c r="C2" s="2" t="n"/>
      <c r="D2" s="2" t="n"/>
      <c r="E2" s="2" t="n"/>
      <c r="F2" s="2" t="n"/>
      <c r="G2" s="2" t="n"/>
      <c r="H2" s="2" t="n"/>
      <c r="I2" s="2" t="n"/>
      <c r="J2" s="2" t="n"/>
      <c r="K2" s="2" t="n"/>
      <c r="L2" s="2" t="n"/>
      <c r="M2" s="2" t="n"/>
      <c r="N2" s="2" t="n"/>
    </row>
    <row r="3">
      <c r="B3" s="2" t="n"/>
      <c r="C3" s="2" t="n"/>
      <c r="D3" s="2" t="n"/>
      <c r="E3" s="2" t="n"/>
      <c r="F3" s="2" t="n"/>
      <c r="G3" s="2" t="n"/>
      <c r="H3" s="2" t="n"/>
      <c r="I3" s="2" t="n"/>
      <c r="J3" s="2" t="n"/>
      <c r="K3" s="2" t="n"/>
      <c r="L3" s="2" t="n"/>
      <c r="M3" s="2" t="n"/>
      <c r="N3" s="2" t="n"/>
    </row>
    <row r="4">
      <c r="B4" s="2" t="n"/>
      <c r="C4" s="2" t="n"/>
      <c r="D4" s="2" t="n"/>
      <c r="E4" s="2" t="n"/>
      <c r="F4" s="2" t="n"/>
      <c r="G4" s="2" t="n"/>
      <c r="H4" s="2" t="n"/>
      <c r="I4" s="2" t="n"/>
      <c r="J4" s="2" t="n"/>
      <c r="K4" s="2" t="n"/>
      <c r="L4" s="2" t="n"/>
      <c r="M4" s="2" t="n"/>
      <c r="N4" s="2" t="n"/>
    </row>
    <row r="5" ht="26" customHeight="1">
      <c r="B5" s="3" t="inlineStr">
        <is>
          <t>Analítica de matrícula, pérdida, riesgo y permanencia · Centro ASTIN</t>
        </is>
      </c>
      <c r="C5" s="2" t="n"/>
      <c r="D5" s="2" t="n"/>
      <c r="E5" s="2" t="n"/>
      <c r="F5" s="2" t="n"/>
      <c r="G5" s="2" t="n"/>
      <c r="H5" s="2" t="n"/>
      <c r="I5" s="2" t="n"/>
      <c r="J5" s="2" t="n"/>
      <c r="K5" s="2" t="n"/>
      <c r="L5" s="2" t="n"/>
      <c r="M5" s="2" t="n"/>
      <c r="N5" s="2" t="n"/>
    </row>
    <row r="6" ht="24" customHeight="1">
      <c r="B6" s="4" t="inlineStr">
        <is>
          <t>Corte único: 19 de octubre de 2026  ·  56 fichas  ·  15 programas  ·  1.592 matrículas</t>
        </is>
      </c>
      <c r="C6" s="5" t="n"/>
      <c r="D6" s="5" t="n"/>
      <c r="E6" s="5" t="n"/>
      <c r="F6" s="5" t="n"/>
      <c r="G6" s="5" t="n"/>
      <c r="H6" s="5" t="n"/>
      <c r="I6" s="5" t="n"/>
      <c r="J6" s="5" t="n"/>
      <c r="K6" s="5" t="n"/>
      <c r="L6" s="5" t="n"/>
      <c r="M6" s="5" t="n"/>
      <c r="N6" s="5" t="n"/>
    </row>
    <row r="8" ht="18" customHeight="1">
      <c r="B8" s="6" t="inlineStr">
        <is>
          <t>MATRÍCULAS</t>
        </is>
      </c>
      <c r="C8" s="7" t="n"/>
      <c r="D8" s="8" t="inlineStr">
        <is>
          <t>PÉRDIDAS</t>
        </is>
      </c>
      <c r="E8" s="9" t="n"/>
      <c r="F8" s="10" t="inlineStr">
        <is>
          <t>TASA DE PÉRDIDA</t>
        </is>
      </c>
      <c r="G8" s="11" t="n"/>
      <c r="H8" s="12" t="inlineStr">
        <is>
          <t>APRENDICES ÚNICOS</t>
        </is>
      </c>
      <c r="I8" s="13" t="n"/>
      <c r="J8" s="14" t="inlineStr">
        <is>
          <t>FICHAS CRÍTICAS</t>
        </is>
      </c>
      <c r="K8" s="15" t="n"/>
    </row>
    <row r="9" ht="28" customHeight="1">
      <c r="B9" s="16" t="inlineStr">
        <is>
          <t>1.592</t>
        </is>
      </c>
      <c r="C9" s="17" t="n"/>
      <c r="D9" s="18" t="inlineStr">
        <is>
          <t>439</t>
        </is>
      </c>
      <c r="E9" s="17" t="n"/>
      <c r="F9" s="19" t="inlineStr">
        <is>
          <t>27,6%</t>
        </is>
      </c>
      <c r="G9" s="17" t="n"/>
      <c r="H9" s="20" t="inlineStr">
        <is>
          <t>1.583</t>
        </is>
      </c>
      <c r="I9" s="17" t="n"/>
      <c r="J9" s="21" t="inlineStr">
        <is>
          <t>6</t>
        </is>
      </c>
      <c r="K9" s="17" t="n"/>
    </row>
    <row r="10" ht="16" customHeight="1">
      <c r="B10" s="17" t="n"/>
      <c r="C10" s="17" t="n"/>
      <c r="D10" s="17" t="n"/>
      <c r="E10" s="17" t="n"/>
      <c r="F10" s="17" t="n"/>
      <c r="G10" s="17" t="n"/>
      <c r="H10" s="17" t="n"/>
      <c r="I10" s="17" t="n"/>
      <c r="J10" s="17" t="n"/>
      <c r="K10" s="17" t="n"/>
    </row>
    <row r="12" ht="21" customHeight="1">
      <c r="A12" s="22" t="inlineStr">
        <is>
          <t>Contenido del libro</t>
        </is>
      </c>
      <c r="B12" s="2" t="n"/>
      <c r="C12" s="2" t="n"/>
      <c r="D12" s="2" t="n"/>
      <c r="E12" s="2" t="n"/>
      <c r="F12" s="2" t="n"/>
      <c r="G12" s="2" t="n"/>
      <c r="H12" s="2" t="n"/>
      <c r="I12" s="2" t="n"/>
      <c r="J12" s="2" t="n"/>
      <c r="K12" s="2" t="n"/>
      <c r="L12" s="2" t="n"/>
      <c r="M12" s="2" t="n"/>
      <c r="N12" s="2" t="n"/>
    </row>
    <row r="13">
      <c r="B13" s="23" t="inlineStr">
        <is>
          <t>Resumen</t>
        </is>
      </c>
      <c r="C13" s="24" t="inlineStr">
        <is>
          <t>KPIs, estados, jornada y hallazgos principales.</t>
        </is>
      </c>
      <c r="D13" s="25" t="n"/>
      <c r="E13" s="25" t="n"/>
      <c r="F13" s="25" t="n"/>
      <c r="G13" s="25" t="n"/>
      <c r="H13" s="25" t="n"/>
      <c r="I13" s="25" t="n"/>
      <c r="J13" s="25" t="n"/>
      <c r="K13" s="25" t="n"/>
      <c r="L13" s="25" t="n"/>
      <c r="M13" s="25" t="n"/>
      <c r="N13" s="25" t="n"/>
    </row>
    <row r="14">
      <c r="B14" s="23" t="inlineStr">
        <is>
          <t>Programas</t>
        </is>
      </c>
      <c r="C14" s="24" t="inlineStr">
        <is>
          <t>Ranking de 15 programas, tasas, IC y concentración.</t>
        </is>
      </c>
      <c r="D14" s="25" t="n"/>
      <c r="E14" s="25" t="n"/>
      <c r="F14" s="25" t="n"/>
      <c r="G14" s="25" t="n"/>
      <c r="H14" s="25" t="n"/>
      <c r="I14" s="25" t="n"/>
      <c r="J14" s="25" t="n"/>
      <c r="K14" s="25" t="n"/>
      <c r="L14" s="25" t="n"/>
      <c r="M14" s="25" t="n"/>
      <c r="N14" s="25" t="n"/>
    </row>
    <row r="15">
      <c r="B15" s="23" t="inlineStr">
        <is>
          <t>Fichas</t>
        </is>
      </c>
      <c r="C15" s="24" t="inlineStr">
        <is>
          <t>Detalle de 56 fichas, riesgo y probabilidad estructural.</t>
        </is>
      </c>
      <c r="D15" s="25" t="n"/>
      <c r="E15" s="25" t="n"/>
      <c r="F15" s="25" t="n"/>
      <c r="G15" s="25" t="n"/>
      <c r="H15" s="25" t="n"/>
      <c r="I15" s="25" t="n"/>
      <c r="J15" s="25" t="n"/>
      <c r="K15" s="25" t="n"/>
      <c r="L15" s="25" t="n"/>
      <c r="M15" s="25" t="n"/>
      <c r="N15" s="25" t="n"/>
    </row>
    <row r="16">
      <c r="B16" s="23" t="inlineStr">
        <is>
          <t>Cohortes</t>
        </is>
      </c>
      <c r="C16" s="24" t="inlineStr">
        <is>
          <t>Tendencia por prefijo de ficha; no es año calendario.</t>
        </is>
      </c>
      <c r="D16" s="25" t="n"/>
      <c r="E16" s="25" t="n"/>
      <c r="F16" s="25" t="n"/>
      <c r="G16" s="25" t="n"/>
      <c r="H16" s="25" t="n"/>
      <c r="I16" s="25" t="n"/>
      <c r="J16" s="25" t="n"/>
      <c r="K16" s="25" t="n"/>
      <c r="L16" s="25" t="n"/>
      <c r="M16" s="25" t="n"/>
      <c r="N16" s="25" t="n"/>
    </row>
    <row r="17">
      <c r="B17" s="23" t="inlineStr">
        <is>
          <t>Riesgos</t>
        </is>
      </c>
      <c r="C17" s="24" t="inlineStr">
        <is>
          <t>Bandas de riesgo, validación y protocolo de atención.</t>
        </is>
      </c>
      <c r="D17" s="25" t="n"/>
      <c r="E17" s="25" t="n"/>
      <c r="F17" s="25" t="n"/>
      <c r="G17" s="25" t="n"/>
      <c r="H17" s="25" t="n"/>
      <c r="I17" s="25" t="n"/>
      <c r="J17" s="25" t="n"/>
      <c r="K17" s="25" t="n"/>
      <c r="L17" s="25" t="n"/>
      <c r="M17" s="25" t="n"/>
      <c r="N17" s="25" t="n"/>
    </row>
    <row r="18">
      <c r="B18" s="23" t="inlineStr">
        <is>
          <t>Predictivo</t>
        </is>
      </c>
      <c r="C18" s="24" t="inlineStr">
        <is>
          <t>Modelo, calibración, proyección y priorización.</t>
        </is>
      </c>
      <c r="D18" s="25" t="n"/>
      <c r="E18" s="25" t="n"/>
      <c r="F18" s="25" t="n"/>
      <c r="G18" s="25" t="n"/>
      <c r="H18" s="25" t="n"/>
      <c r="I18" s="25" t="n"/>
      <c r="J18" s="25" t="n"/>
      <c r="K18" s="25" t="n"/>
      <c r="L18" s="25" t="n"/>
      <c r="M18" s="25" t="n"/>
      <c r="N18" s="25" t="n"/>
    </row>
    <row r="19">
      <c r="B19" s="23" t="inlineStr">
        <is>
          <t>Diccionario</t>
        </is>
      </c>
      <c r="C19" s="24" t="inlineStr">
        <is>
          <t>Tablas, campos, tipos y reglas de privacidad.</t>
        </is>
      </c>
      <c r="D19" s="25" t="n"/>
      <c r="E19" s="25" t="n"/>
      <c r="F19" s="25" t="n"/>
      <c r="G19" s="25" t="n"/>
      <c r="H19" s="25" t="n"/>
      <c r="I19" s="25" t="n"/>
      <c r="J19" s="25" t="n"/>
      <c r="K19" s="25" t="n"/>
      <c r="L19" s="25" t="n"/>
      <c r="M19" s="25" t="n"/>
      <c r="N19" s="25" t="n"/>
    </row>
    <row r="20">
      <c r="B20" s="23" t="inlineStr">
        <is>
          <t>Notas</t>
        </is>
      </c>
      <c r="C20" s="24" t="inlineStr">
        <is>
          <t>Metodología, límites y reproducibilidad.</t>
        </is>
      </c>
      <c r="D20" s="25" t="n"/>
      <c r="E20" s="25" t="n"/>
      <c r="F20" s="25" t="n"/>
      <c r="G20" s="25" t="n"/>
      <c r="H20" s="25" t="n"/>
      <c r="I20" s="25" t="n"/>
      <c r="J20" s="25" t="n"/>
      <c r="K20" s="25" t="n"/>
      <c r="L20" s="25" t="n"/>
      <c r="M20" s="25" t="n"/>
      <c r="N20" s="25" t="n"/>
    </row>
    <row r="22" ht="21" customHeight="1">
      <c r="A22" s="26" t="inlineStr">
        <is>
          <t>Advertencia de alcance</t>
        </is>
      </c>
      <c r="B22" s="27" t="n"/>
      <c r="C22" s="27" t="n"/>
      <c r="D22" s="27" t="n"/>
      <c r="E22" s="27" t="n"/>
      <c r="F22" s="27" t="n"/>
      <c r="G22" s="27" t="n"/>
      <c r="H22" s="27" t="n"/>
      <c r="I22" s="27" t="n"/>
      <c r="J22" s="27" t="n"/>
      <c r="K22" s="27" t="n"/>
      <c r="L22" s="27" t="n"/>
      <c r="M22" s="27" t="n"/>
      <c r="N22" s="27" t="n"/>
    </row>
    <row r="23">
      <c r="B23" s="28" t="inlineStr">
        <is>
          <t>Este libro describe un único corte transversal. No contiene serie histórica, fecha de matrícula, fecha de retiro ni periodo académico; por eso no proyecta nueva matrícula ni fechas de cierre. La proyección incluida es un escenario de permanencia de la población ya vinculada.
La fuente original no trae género, edad, municipio ni departamento. Esos campos aparecen como «No informado» y no se imputan. El tipo de documento se usa solo como proxy grueso de edad.
El puntaje individual es una priorización estructural, no una predicción personal: el AUC del modelo con variables individuales es 0,467 (cercano al azar). No use estos puntajes para negar cupos, certificar, sancionar ni tomar decisiones automáticas.</t>
        </is>
      </c>
      <c r="C23" s="29" t="n"/>
      <c r="D23" s="29" t="n"/>
      <c r="E23" s="29" t="n"/>
      <c r="F23" s="29" t="n"/>
      <c r="G23" s="29" t="n"/>
      <c r="H23" s="29" t="n"/>
      <c r="I23" s="29" t="n"/>
      <c r="J23" s="29" t="n"/>
      <c r="K23" s="29" t="n"/>
      <c r="L23" s="29" t="n"/>
      <c r="M23" s="29" t="n"/>
      <c r="N23" s="29" t="n"/>
    </row>
    <row r="24">
      <c r="B24" s="29" t="n"/>
      <c r="C24" s="29" t="n"/>
      <c r="D24" s="29" t="n"/>
      <c r="E24" s="29" t="n"/>
      <c r="F24" s="29" t="n"/>
      <c r="G24" s="29" t="n"/>
      <c r="H24" s="29" t="n"/>
      <c r="I24" s="29" t="n"/>
      <c r="J24" s="29" t="n"/>
      <c r="K24" s="29" t="n"/>
      <c r="L24" s="29" t="n"/>
      <c r="M24" s="29" t="n"/>
      <c r="N24" s="29" t="n"/>
    </row>
    <row r="25">
      <c r="B25" s="29" t="n"/>
      <c r="C25" s="29" t="n"/>
      <c r="D25" s="29" t="n"/>
      <c r="E25" s="29" t="n"/>
      <c r="F25" s="29" t="n"/>
      <c r="G25" s="29" t="n"/>
      <c r="H25" s="29" t="n"/>
      <c r="I25" s="29" t="n"/>
      <c r="J25" s="29" t="n"/>
      <c r="K25" s="29" t="n"/>
      <c r="L25" s="29" t="n"/>
      <c r="M25" s="29" t="n"/>
      <c r="N25" s="29" t="n"/>
    </row>
    <row r="26">
      <c r="B26" s="29" t="n"/>
      <c r="C26" s="29" t="n"/>
      <c r="D26" s="29" t="n"/>
      <c r="E26" s="29" t="n"/>
      <c r="F26" s="29" t="n"/>
      <c r="G26" s="29" t="n"/>
      <c r="H26" s="29" t="n"/>
      <c r="I26" s="29" t="n"/>
      <c r="J26" s="29" t="n"/>
      <c r="K26" s="29" t="n"/>
      <c r="L26" s="29" t="n"/>
      <c r="M26" s="29" t="n"/>
      <c r="N26" s="29" t="n"/>
    </row>
    <row r="27">
      <c r="B27" s="29" t="n"/>
      <c r="C27" s="29" t="n"/>
      <c r="D27" s="29" t="n"/>
      <c r="E27" s="29" t="n"/>
      <c r="F27" s="29" t="n"/>
      <c r="G27" s="29" t="n"/>
      <c r="H27" s="29" t="n"/>
      <c r="I27" s="29" t="n"/>
      <c r="J27" s="29" t="n"/>
      <c r="K27" s="29" t="n"/>
      <c r="L27" s="29" t="n"/>
      <c r="M27" s="29" t="n"/>
      <c r="N27" s="29" t="n"/>
    </row>
    <row r="29" ht="21" customHeight="1">
      <c r="A29" s="30" t="inlineStr">
        <is>
          <t>Privacidad y uso</t>
        </is>
      </c>
      <c r="B29" s="31" t="n"/>
      <c r="C29" s="31" t="n"/>
      <c r="D29" s="31" t="n"/>
      <c r="E29" s="31" t="n"/>
      <c r="F29" s="31" t="n"/>
      <c r="G29" s="31" t="n"/>
      <c r="H29" s="31" t="n"/>
      <c r="I29" s="31" t="n"/>
      <c r="J29" s="31" t="n"/>
      <c r="K29" s="31" t="n"/>
      <c r="L29" s="31" t="n"/>
      <c r="M29" s="31" t="n"/>
      <c r="N29" s="31" t="n"/>
    </row>
    <row r="30">
      <c r="B30" s="32" t="inlineStr">
        <is>
          <t>El libro no contiene nombres, números de documento, celulares ni correos. Los identificadores de aprendiz son seudónimos (hash) y se incluyen solo cuando aportan trazabilidad operativa. No publique listas nominales: la lista priorizada con nombres está en data/restricted y es de uso interno.</t>
        </is>
      </c>
      <c r="C30" s="33" t="n"/>
      <c r="D30" s="33" t="n"/>
      <c r="E30" s="33" t="n"/>
      <c r="F30" s="33" t="n"/>
      <c r="G30" s="33" t="n"/>
      <c r="H30" s="33" t="n"/>
      <c r="I30" s="33" t="n"/>
      <c r="J30" s="33" t="n"/>
      <c r="K30" s="33" t="n"/>
      <c r="L30" s="33" t="n"/>
      <c r="M30" s="33" t="n"/>
      <c r="N30" s="33" t="n"/>
    </row>
    <row r="31">
      <c r="B31" s="33" t="n"/>
      <c r="C31" s="33" t="n"/>
      <c r="D31" s="33" t="n"/>
      <c r="E31" s="33" t="n"/>
      <c r="F31" s="33" t="n"/>
      <c r="G31" s="33" t="n"/>
      <c r="H31" s="33" t="n"/>
      <c r="I31" s="33" t="n"/>
      <c r="J31" s="33" t="n"/>
      <c r="K31" s="33" t="n"/>
      <c r="L31" s="33" t="n"/>
      <c r="M31" s="33" t="n"/>
      <c r="N31" s="33" t="n"/>
    </row>
    <row r="32">
      <c r="B32" s="33" t="n"/>
      <c r="C32" s="33" t="n"/>
      <c r="D32" s="33" t="n"/>
      <c r="E32" s="33" t="n"/>
      <c r="F32" s="33" t="n"/>
      <c r="G32" s="33" t="n"/>
      <c r="H32" s="33" t="n"/>
      <c r="I32" s="33" t="n"/>
      <c r="J32" s="33" t="n"/>
      <c r="K32" s="33" t="n"/>
      <c r="L32" s="33" t="n"/>
      <c r="M32" s="33" t="n"/>
      <c r="N32" s="33" t="n"/>
    </row>
    <row r="34">
      <c r="B34" s="34" t="inlineStr">
        <is>
          <t>Generado por scripts/05_generar_excel.py · Fuente: 56 archivos .xls de la base de aprendices · Datos procesados sin PII</t>
        </is>
      </c>
    </row>
  </sheetData>
  <mergeCells count="27">
    <mergeCell ref="B23:N27"/>
    <mergeCell ref="C16:N16"/>
    <mergeCell ref="B30:N32"/>
    <mergeCell ref="B6:N6"/>
    <mergeCell ref="B9:C10"/>
    <mergeCell ref="D9:E10"/>
    <mergeCell ref="F9:G10"/>
    <mergeCell ref="B5:N5"/>
    <mergeCell ref="C17:N17"/>
    <mergeCell ref="B8:C8"/>
    <mergeCell ref="F8:G8"/>
    <mergeCell ref="A12:N12"/>
    <mergeCell ref="C19:N19"/>
    <mergeCell ref="C13:N13"/>
    <mergeCell ref="C18:N18"/>
    <mergeCell ref="H9:I10"/>
    <mergeCell ref="B2:N4"/>
    <mergeCell ref="D8:E8"/>
    <mergeCell ref="J9:K10"/>
    <mergeCell ref="A22:N22"/>
    <mergeCell ref="C15:N15"/>
    <mergeCell ref="A29:N29"/>
    <mergeCell ref="C14:N14"/>
    <mergeCell ref="H8:I8"/>
    <mergeCell ref="J8:K8"/>
    <mergeCell ref="B34:N34"/>
    <mergeCell ref="C20:N20"/>
  </mergeCells>
  <pageMargins left="0.35" right="0.35" top="0.45" bottom="0.45" header="0.5" footer="0.5"/>
  <pageSetup orientation="portrait" fitToHeight="0" fitToWidth="1"/>
  <headerFooter>
    <oddHeader/>
    <oddFooter>&amp;C&amp;8 &amp;K808080Caracterización de Aprendices Centro ASTIN · Corte 19/10/2026 · Datos sin PII</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N31"/>
  <sheetViews>
    <sheetView showGridLines="0" workbookViewId="0">
      <selection activeCell="A1" sqref="A1"/>
    </sheetView>
  </sheetViews>
  <sheetFormatPr baseColWidth="8" defaultRowHeight="15"/>
  <cols>
    <col width="20" customWidth="1" min="1" max="1"/>
    <col width="18" customWidth="1" min="2" max="2"/>
    <col width="13" customWidth="1" min="3" max="3"/>
    <col width="14" customWidth="1" min="4" max="4"/>
    <col width="15" customWidth="1" min="5" max="5"/>
    <col width="15" customWidth="1" min="6" max="6"/>
  </cols>
  <sheetData>
    <row r="1" ht="38" customHeight="1">
      <c r="A1" s="35" t="inlineStr">
        <is>
          <t>Resumen ejecutivo</t>
        </is>
      </c>
      <c r="B1" s="2" t="n"/>
      <c r="C1" s="2" t="n"/>
      <c r="D1" s="2" t="n"/>
      <c r="E1" s="2" t="n"/>
      <c r="F1" s="2" t="n"/>
      <c r="G1" s="2" t="n"/>
      <c r="H1" s="2" t="n"/>
      <c r="I1" s="2" t="n"/>
      <c r="J1" s="2" t="n"/>
      <c r="K1" s="2" t="n"/>
      <c r="L1" s="2" t="n"/>
      <c r="M1" s="2" t="n"/>
      <c r="N1" s="2" t="n"/>
    </row>
    <row r="2" ht="24" customHeight="1">
      <c r="A2" s="36" t="inlineStr">
        <is>
          <t>Indicadores del corte, distribución por estado y lectura de hallazgos.</t>
        </is>
      </c>
      <c r="B2" s="37" t="n"/>
      <c r="C2" s="37" t="n"/>
      <c r="D2" s="37" t="n"/>
      <c r="E2" s="37" t="n"/>
      <c r="F2" s="37" t="n"/>
      <c r="G2" s="37" t="n"/>
      <c r="H2" s="37" t="n"/>
      <c r="I2" s="37" t="n"/>
      <c r="J2" s="37" t="n"/>
      <c r="K2" s="37" t="n"/>
      <c r="L2" s="37" t="n"/>
      <c r="M2" s="37" t="n"/>
      <c r="N2" s="37" t="n"/>
    </row>
    <row r="4">
      <c r="A4" s="6" t="inlineStr">
        <is>
          <t>MATRÍCULAS</t>
        </is>
      </c>
      <c r="B4" s="7" t="n"/>
      <c r="C4" s="8" t="inlineStr">
        <is>
          <t>PÉRDIDAS</t>
        </is>
      </c>
      <c r="D4" s="9" t="n"/>
      <c r="E4" s="10" t="inlineStr">
        <is>
          <t>TASA DE PÉRDIDA</t>
        </is>
      </c>
      <c r="F4" s="11" t="n"/>
      <c r="G4" s="12" t="inlineStr">
        <is>
          <t>FICHAS</t>
        </is>
      </c>
      <c r="H4" s="13" t="n"/>
      <c r="I4" s="14" t="inlineStr">
        <is>
          <t>PRIORIDAD INMEDIATA</t>
        </is>
      </c>
      <c r="J4" s="15" t="n"/>
      <c r="L4" s="38" t="inlineStr">
        <is>
          <t>IC 95% de la tasa de pérdida
25,4% – 29,8%</t>
        </is>
      </c>
      <c r="M4" s="39" t="n"/>
      <c r="N4" s="39" t="n"/>
    </row>
    <row r="5">
      <c r="A5" s="16" t="inlineStr">
        <is>
          <t>1.592</t>
        </is>
      </c>
      <c r="B5" s="17" t="n"/>
      <c r="C5" s="18" t="inlineStr">
        <is>
          <t>439</t>
        </is>
      </c>
      <c r="D5" s="17" t="n"/>
      <c r="E5" s="19" t="inlineStr">
        <is>
          <t>27,6%</t>
        </is>
      </c>
      <c r="F5" s="17" t="n"/>
      <c r="G5" s="20" t="inlineStr">
        <is>
          <t>56</t>
        </is>
      </c>
      <c r="H5" s="17" t="n"/>
      <c r="I5" s="21" t="inlineStr">
        <is>
          <t>65</t>
        </is>
      </c>
      <c r="J5" s="17" t="n"/>
      <c r="L5" s="39" t="n"/>
      <c r="M5" s="39" t="n"/>
      <c r="N5" s="39" t="n"/>
    </row>
    <row r="6">
      <c r="A6" s="17" t="n"/>
      <c r="B6" s="17" t="n"/>
      <c r="C6" s="17" t="n"/>
      <c r="D6" s="17" t="n"/>
      <c r="E6" s="17" t="n"/>
      <c r="F6" s="17" t="n"/>
      <c r="G6" s="17" t="n"/>
      <c r="H6" s="17" t="n"/>
      <c r="I6" s="17" t="n"/>
      <c r="J6" s="17" t="n"/>
    </row>
    <row r="8" ht="21" customHeight="1">
      <c r="A8" s="22" t="inlineStr">
        <is>
          <t>Estados de matrícula</t>
        </is>
      </c>
      <c r="B8" s="2" t="n"/>
      <c r="C8" s="2" t="n"/>
      <c r="D8" s="2" t="n"/>
      <c r="E8" s="2" t="n"/>
      <c r="F8" s="2" t="n"/>
      <c r="G8" s="2" t="n"/>
      <c r="H8" s="2" t="n"/>
      <c r="I8" s="2" t="n"/>
      <c r="J8" s="2" t="n"/>
      <c r="K8" s="2" t="n"/>
      <c r="L8" s="2" t="n"/>
      <c r="M8" s="2" t="n"/>
      <c r="N8" s="2" t="n"/>
    </row>
    <row r="9" ht="27" customHeight="1">
      <c r="A9" s="40" t="inlineStr">
        <is>
          <t>Estado</t>
        </is>
      </c>
      <c r="B9" s="40" t="inlineStr">
        <is>
          <t>Categoría</t>
        </is>
      </c>
      <c r="C9" s="40" t="inlineStr">
        <is>
          <t>Matrículas</t>
        </is>
      </c>
      <c r="D9" s="40" t="inlineStr">
        <is>
          <t>% del total</t>
        </is>
      </c>
      <c r="E9" s="40" t="inlineStr">
        <is>
          <t>Pérdidas</t>
        </is>
      </c>
    </row>
    <row r="10">
      <c r="A10" s="41" t="inlineStr">
        <is>
          <t>EN FORMACION</t>
        </is>
      </c>
      <c r="B10" s="41" t="inlineStr">
        <is>
          <t>Activo</t>
        </is>
      </c>
      <c r="C10" s="42" t="n">
        <v>1112</v>
      </c>
      <c r="D10" s="43" t="n">
        <v>0.6984924623115578</v>
      </c>
      <c r="E10" s="41" t="inlineStr">
        <is>
          <t>No</t>
        </is>
      </c>
    </row>
    <row r="11">
      <c r="A11" s="24" t="inlineStr">
        <is>
          <t>CANCELADO</t>
        </is>
      </c>
      <c r="B11" s="24" t="inlineStr">
        <is>
          <t>Desertor</t>
        </is>
      </c>
      <c r="C11" s="44" t="n">
        <v>428</v>
      </c>
      <c r="D11" s="45" t="n">
        <v>0.2688442211055276</v>
      </c>
      <c r="E11" s="24" t="inlineStr">
        <is>
          <t>Sí</t>
        </is>
      </c>
    </row>
    <row r="12">
      <c r="A12" s="41" t="inlineStr">
        <is>
          <t>INDUCCION</t>
        </is>
      </c>
      <c r="B12" s="41" t="inlineStr">
        <is>
          <t>Activo</t>
        </is>
      </c>
      <c r="C12" s="42" t="n">
        <v>19</v>
      </c>
      <c r="D12" s="43" t="n">
        <v>0.01193467336683417</v>
      </c>
      <c r="E12" s="41" t="inlineStr">
        <is>
          <t>No</t>
        </is>
      </c>
    </row>
    <row r="13">
      <c r="A13" s="24" t="inlineStr">
        <is>
          <t>RETIRO VOLUNTARIO</t>
        </is>
      </c>
      <c r="B13" s="24" t="inlineStr">
        <is>
          <t>Desertor</t>
        </is>
      </c>
      <c r="C13" s="44" t="n">
        <v>11</v>
      </c>
      <c r="D13" s="45" t="n">
        <v>0.006909547738693468</v>
      </c>
      <c r="E13" s="24" t="inlineStr">
        <is>
          <t>Sí</t>
        </is>
      </c>
    </row>
    <row r="14">
      <c r="A14" s="41" t="inlineStr">
        <is>
          <t>TRASLADADO</t>
        </is>
      </c>
      <c r="B14" s="41" t="inlineStr">
        <is>
          <t>Egreso por traslado</t>
        </is>
      </c>
      <c r="C14" s="42" t="n">
        <v>9</v>
      </c>
      <c r="D14" s="43" t="n">
        <v>0.005653266331658292</v>
      </c>
      <c r="E14" s="41" t="inlineStr">
        <is>
          <t>No</t>
        </is>
      </c>
    </row>
    <row r="15">
      <c r="A15" s="24" t="inlineStr">
        <is>
          <t>APLAZADO</t>
        </is>
      </c>
      <c r="B15" s="24" t="inlineStr">
        <is>
          <t>Suspendido</t>
        </is>
      </c>
      <c r="C15" s="44" t="n">
        <v>7</v>
      </c>
      <c r="D15" s="45" t="n">
        <v>0.004396984924623116</v>
      </c>
      <c r="E15" s="24" t="inlineStr">
        <is>
          <t>No</t>
        </is>
      </c>
    </row>
    <row r="16">
      <c r="A16" s="41" t="inlineStr">
        <is>
          <t>CONDICIONADO</t>
        </is>
      </c>
      <c r="B16" s="41" t="inlineStr">
        <is>
          <t>Activo en riesgo</t>
        </is>
      </c>
      <c r="C16" s="42" t="n">
        <v>6</v>
      </c>
      <c r="D16" s="43" t="n">
        <v>0.003768844221105527</v>
      </c>
      <c r="E16" s="41" t="inlineStr">
        <is>
          <t>No</t>
        </is>
      </c>
    </row>
    <row r="18" ht="21" customHeight="1">
      <c r="A18" s="22" t="inlineStr">
        <is>
          <t>Jornada</t>
        </is>
      </c>
      <c r="B18" s="2" t="n"/>
      <c r="C18" s="2" t="n"/>
      <c r="D18" s="2" t="n"/>
      <c r="E18" s="2" t="n"/>
      <c r="F18" s="2" t="n"/>
      <c r="G18" s="2" t="n"/>
      <c r="H18" s="2" t="n"/>
      <c r="I18" s="2" t="n"/>
      <c r="J18" s="2" t="n"/>
      <c r="K18" s="2" t="n"/>
      <c r="L18" s="2" t="n"/>
      <c r="M18" s="2" t="n"/>
      <c r="N18" s="2" t="n"/>
    </row>
    <row r="19" ht="27" customHeight="1">
      <c r="A19" s="40" t="inlineStr">
        <is>
          <t>Jornada</t>
        </is>
      </c>
      <c r="B19" s="40" t="inlineStr">
        <is>
          <t>Matrículas</t>
        </is>
      </c>
      <c r="C19" s="40" t="inlineStr">
        <is>
          <t>Pérdidas</t>
        </is>
      </c>
      <c r="D19" s="40" t="inlineStr">
        <is>
          <t>Tasa de pérdida</t>
        </is>
      </c>
      <c r="E19" s="40" t="inlineStr">
        <is>
          <t>IC 95% inferior</t>
        </is>
      </c>
      <c r="F19" s="40" t="inlineStr">
        <is>
          <t>IC 95% superior</t>
        </is>
      </c>
      <c r="H19" s="46" t="inlineStr">
        <is>
          <t>Contraste: χ² = 30.189; p &lt; 0.001; V de Cramer = 0.138. OR DIURNA vs NOCTURNA = 0.530 (IC 95% 0.423–0.665).</t>
        </is>
      </c>
      <c r="I19" s="33" t="n"/>
      <c r="J19" s="33" t="n"/>
      <c r="K19" s="33" t="n"/>
      <c r="L19" s="33" t="n"/>
      <c r="M19" s="33" t="n"/>
      <c r="N19" s="33" t="n"/>
    </row>
    <row r="20">
      <c r="A20" s="41" t="inlineStr">
        <is>
          <t>DIURNA</t>
        </is>
      </c>
      <c r="B20" s="42" t="n">
        <v>1031</v>
      </c>
      <c r="C20" s="42" t="n">
        <v>237</v>
      </c>
      <c r="D20" s="43" t="n">
        <v>0.2299</v>
      </c>
      <c r="E20" s="43" t="n">
        <v>0.2052</v>
      </c>
      <c r="F20" s="43" t="n">
        <v>0.2565</v>
      </c>
      <c r="H20" s="33" t="n"/>
      <c r="I20" s="33" t="n"/>
      <c r="J20" s="33" t="n"/>
      <c r="K20" s="33" t="n"/>
      <c r="L20" s="33" t="n"/>
      <c r="M20" s="33" t="n"/>
      <c r="N20" s="33" t="n"/>
    </row>
    <row r="21">
      <c r="A21" s="24" t="inlineStr">
        <is>
          <t>NOCTURNA</t>
        </is>
      </c>
      <c r="B21" s="44" t="n">
        <v>561</v>
      </c>
      <c r="C21" s="44" t="n">
        <v>202</v>
      </c>
      <c r="D21" s="45" t="n">
        <v>0.3601</v>
      </c>
      <c r="E21" s="45" t="n">
        <v>0.3214</v>
      </c>
      <c r="F21" s="45" t="n">
        <v>0.4006</v>
      </c>
    </row>
    <row r="24" ht="21" customHeight="1">
      <c r="A24" s="22" t="inlineStr">
        <is>
          <t>Hallazgos que requieren atención</t>
        </is>
      </c>
      <c r="B24" s="2" t="n"/>
      <c r="C24" s="2" t="n"/>
      <c r="D24" s="2" t="n"/>
      <c r="E24" s="2" t="n"/>
      <c r="F24" s="2" t="n"/>
      <c r="G24" s="2" t="n"/>
      <c r="H24" s="2" t="n"/>
      <c r="I24" s="2" t="n"/>
      <c r="J24" s="2" t="n"/>
      <c r="K24" s="2" t="n"/>
      <c r="L24" s="2" t="n"/>
      <c r="M24" s="2" t="n"/>
      <c r="N24" s="2" t="n"/>
    </row>
    <row r="25" ht="26" customHeight="1">
      <c r="A25" s="47" t="inlineStr">
        <is>
          <t>1. La pérdida acumulada es 27,6% (439 de 1.592 matrículas). Casi toda es cancelación (26,9%); el retiro voluntario es 0,7%.</t>
        </is>
      </c>
    </row>
    <row r="26" ht="26" customHeight="1">
      <c r="A26" s="47" t="inlineStr">
        <is>
          <t>2. La jornada nocturna duplica el riesgo relativo de la diurna: 36,0% vs 23,0% (OR 0,53; p &lt; 0,001).</t>
        </is>
      </c>
    </row>
    <row r="27" ht="26" customHeight="1">
      <c r="A27" s="47" t="inlineStr">
        <is>
          <t>3. Seis fichas son críticas: 206 matrículas y 116 pérdidas (56,3% de pérdida observada).</t>
        </is>
      </c>
    </row>
    <row r="28" ht="26" customHeight="1">
      <c r="A28" s="47" t="inlineStr">
        <is>
          <t>4. La concentración es alta: 3 programas reúnen 56,7% de la matrícula. El mayor es Sistemas Integrados de Gestión (484; 31,6%).</t>
        </is>
      </c>
    </row>
    <row r="29" ht="26" customHeight="1">
      <c r="A29" s="47" t="inlineStr">
        <is>
          <t>5. La pérdida cae con el prefijo de ficha (Spearman −0,921; pendiente −3,5 pp por generación). Es un proxy de antigüedad, no un año calendario.</t>
        </is>
      </c>
    </row>
    <row r="30" ht="26" customHeight="1">
      <c r="A30" s="47" t="inlineStr">
        <is>
          <t>6. El contacto incompleto (14,3%) no es factor de riesgo: su asociación ajustada por programa es espuria (OR MH 0,65).</t>
        </is>
      </c>
    </row>
    <row r="31" ht="26" customHeight="1">
      <c r="A31" s="47" t="inlineStr">
        <is>
          <t>7. El modelo discrimina mejor entre fichas (AUC 0,726) que entre personas (AUC individual 0,467). Priorice fichas, no personas.</t>
        </is>
      </c>
    </row>
  </sheetData>
  <mergeCells count="24">
    <mergeCell ref="A31:N31"/>
    <mergeCell ref="A24:N24"/>
    <mergeCell ref="A30:N30"/>
    <mergeCell ref="A5:B6"/>
    <mergeCell ref="G5:H6"/>
    <mergeCell ref="I5:J6"/>
    <mergeCell ref="A1:N1"/>
    <mergeCell ref="C4:D4"/>
    <mergeCell ref="E4:F4"/>
    <mergeCell ref="A25:N25"/>
    <mergeCell ref="A18:N18"/>
    <mergeCell ref="A27:N27"/>
    <mergeCell ref="H19:N20"/>
    <mergeCell ref="A26:N26"/>
    <mergeCell ref="A2:N2"/>
    <mergeCell ref="C5:D6"/>
    <mergeCell ref="E5:F6"/>
    <mergeCell ref="L4:N5"/>
    <mergeCell ref="A4:B4"/>
    <mergeCell ref="G4:H4"/>
    <mergeCell ref="A8:N8"/>
    <mergeCell ref="I4:J4"/>
    <mergeCell ref="A29:N29"/>
    <mergeCell ref="A28:N28"/>
  </mergeCells>
  <pageMargins left="0.35" right="0.35" top="0.45" bottom="0.45" header="0.5" footer="0.5"/>
  <pageSetup orientation="landscape" fitToHeight="1" fitToWidth="1"/>
  <headerFooter>
    <oddHeader/>
    <oddFooter>&amp;C&amp;8 &amp;K808080Caracterización de Aprendices Centro ASTIN · Corte 19/10/2026 · Datos sin PII</oddFooter>
    <evenHeader/>
    <evenFooter/>
    <firstHeader/>
    <firstFooter/>
  </headerFooter>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fitToPage="1"/>
  </sheetPr>
  <dimension ref="A1:P22"/>
  <sheetViews>
    <sheetView showGridLines="0" workbookViewId="0">
      <selection activeCell="A1" sqref="A1"/>
    </sheetView>
  </sheetViews>
  <sheetFormatPr baseColWidth="8" defaultRowHeight="15"/>
  <cols>
    <col width="13" customWidth="1" min="1" max="1"/>
    <col width="34" customWidth="1" min="2" max="2"/>
    <col width="22"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ht="38" customHeight="1">
      <c r="A1" s="35" t="inlineStr">
        <is>
          <t>Programas</t>
        </is>
      </c>
      <c r="B1" s="2" t="n"/>
      <c r="C1" s="2" t="n"/>
      <c r="D1" s="2" t="n"/>
      <c r="E1" s="2" t="n"/>
      <c r="F1" s="2" t="n"/>
      <c r="G1" s="2" t="n"/>
      <c r="H1" s="2" t="n"/>
      <c r="I1" s="2" t="n"/>
      <c r="J1" s="2" t="n"/>
      <c r="K1" s="2" t="n"/>
      <c r="L1" s="2" t="n"/>
      <c r="M1" s="2" t="n"/>
      <c r="N1" s="2" t="n"/>
      <c r="O1" s="2" t="n"/>
      <c r="P1" s="2" t="n"/>
    </row>
    <row r="2" ht="24" customHeight="1">
      <c r="A2" s="36" t="inlineStr">
        <is>
          <t>Ranking por tasa de pérdida, incertidumbre y concentración de matrícula.</t>
        </is>
      </c>
      <c r="B2" s="37" t="n"/>
      <c r="C2" s="37" t="n"/>
      <c r="D2" s="37" t="n"/>
      <c r="E2" s="37" t="n"/>
      <c r="F2" s="37" t="n"/>
      <c r="G2" s="37" t="n"/>
      <c r="H2" s="37" t="n"/>
      <c r="I2" s="37" t="n"/>
      <c r="J2" s="37" t="n"/>
      <c r="K2" s="37" t="n"/>
      <c r="L2" s="37" t="n"/>
      <c r="M2" s="37" t="n"/>
      <c r="N2" s="37" t="n"/>
      <c r="O2" s="37" t="n"/>
      <c r="P2" s="37" t="n"/>
    </row>
    <row r="4" ht="27" customHeight="1">
      <c r="A4" s="40" t="inlineStr">
        <is>
          <t>Ranking</t>
        </is>
      </c>
      <c r="B4" s="40" t="inlineStr">
        <is>
          <t>Programa</t>
        </is>
      </c>
      <c r="C4" s="40" t="inlineStr">
        <is>
          <t>Línea tecnológica</t>
        </is>
      </c>
      <c r="D4" s="40" t="inlineStr">
        <is>
          <t>Nivel</t>
        </is>
      </c>
      <c r="E4" s="40" t="inlineStr">
        <is>
          <t>Fichas</t>
        </is>
      </c>
      <c r="F4" s="40" t="inlineStr">
        <is>
          <t>Matrículas</t>
        </is>
      </c>
      <c r="G4" s="40" t="inlineStr">
        <is>
          <t>Pérdidas</t>
        </is>
      </c>
      <c r="H4" s="40" t="inlineStr">
        <is>
          <t>Tasa de pérdida</t>
        </is>
      </c>
      <c r="I4" s="40" t="inlineStr">
        <is>
          <t>IC 95% inf.</t>
        </is>
      </c>
      <c r="J4" s="40" t="inlineStr">
        <is>
          <t>IC 95% sup.</t>
        </is>
      </c>
      <c r="K4" s="40" t="inlineStr">
        <is>
          <t>Tasa ajustada EB</t>
        </is>
      </c>
      <c r="L4" s="40" t="inlineStr">
        <is>
          <t>Brecha vs global (pp)</t>
        </is>
      </c>
      <c r="M4" s="40" t="inlineStr">
        <is>
          <t>Participación</t>
        </is>
      </c>
      <c r="O4" s="46" t="inlineStr">
        <is>
          <t>Concentración
HHI = 0.1516
Programas efectivos = 6.6
Top 3 = 56,6%
χ² = 65.5; p &lt; 0.001; V = 0.203</t>
        </is>
      </c>
      <c r="P4" s="33" t="n"/>
    </row>
    <row r="5">
      <c r="A5" s="48" t="n">
        <v>1</v>
      </c>
      <c r="B5" s="24" t="inlineStr">
        <is>
          <t>Procedimientos de Laboratorio</t>
        </is>
      </c>
      <c r="C5" s="24" t="inlineStr">
        <is>
          <t>Química y Laboratorio</t>
        </is>
      </c>
      <c r="D5" s="24" t="inlineStr">
        <is>
          <t>Técnico</t>
        </is>
      </c>
      <c r="E5" s="44" t="n">
        <v>1</v>
      </c>
      <c r="F5" s="44" t="n">
        <v>14</v>
      </c>
      <c r="G5" s="44" t="n">
        <v>7</v>
      </c>
      <c r="H5" s="45" t="n">
        <v>0.5</v>
      </c>
      <c r="I5" s="45" t="n">
        <v>0.268</v>
      </c>
      <c r="J5" s="45" t="n">
        <v>0.732</v>
      </c>
      <c r="K5" s="45" t="n">
        <v>0.4066</v>
      </c>
      <c r="L5" s="49" t="n">
        <v>22.42</v>
      </c>
      <c r="M5" s="45" t="n">
        <v>0.008800000000000001</v>
      </c>
      <c r="O5" s="33" t="n"/>
      <c r="P5" s="33" t="n"/>
    </row>
    <row r="6">
      <c r="A6" s="50" t="n">
        <v>2</v>
      </c>
      <c r="B6" s="41" t="inlineStr">
        <is>
          <t>Análisis de Materiales</t>
        </is>
      </c>
      <c r="C6" s="41" t="inlineStr">
        <is>
          <t>Química y Laboratorio</t>
        </is>
      </c>
      <c r="D6" s="41" t="inlineStr">
        <is>
          <t>Tecnólogo</t>
        </is>
      </c>
      <c r="E6" s="42" t="n">
        <v>2</v>
      </c>
      <c r="F6" s="42" t="n">
        <v>38</v>
      </c>
      <c r="G6" s="42" t="n">
        <v>14</v>
      </c>
      <c r="H6" s="43" t="n">
        <v>0.3684</v>
      </c>
      <c r="I6" s="43" t="n">
        <v>0.2338</v>
      </c>
      <c r="J6" s="43" t="n">
        <v>0.5272</v>
      </c>
      <c r="K6" s="43" t="n">
        <v>0.3491</v>
      </c>
      <c r="L6" s="51" t="n">
        <v>9.26</v>
      </c>
      <c r="M6" s="43" t="n">
        <v>0.0239</v>
      </c>
      <c r="O6" s="33" t="n"/>
      <c r="P6" s="33" t="n"/>
    </row>
    <row r="7">
      <c r="A7" s="48" t="n">
        <v>3</v>
      </c>
      <c r="B7" s="24" t="inlineStr">
        <is>
          <t>Química Aplicada</t>
        </is>
      </c>
      <c r="C7" s="24" t="inlineStr">
        <is>
          <t>Química y Laboratorio</t>
        </is>
      </c>
      <c r="D7" s="24" t="inlineStr">
        <is>
          <t>Tecnólogo</t>
        </is>
      </c>
      <c r="E7" s="44" t="n">
        <v>4</v>
      </c>
      <c r="F7" s="44" t="n">
        <v>113</v>
      </c>
      <c r="G7" s="44" t="n">
        <v>40</v>
      </c>
      <c r="H7" s="45" t="n">
        <v>0.354</v>
      </c>
      <c r="I7" s="45" t="n">
        <v>0.2719</v>
      </c>
      <c r="J7" s="45" t="n">
        <v>0.4456</v>
      </c>
      <c r="K7" s="45" t="n">
        <v>0.3476</v>
      </c>
      <c r="L7" s="49" t="n">
        <v>7.82</v>
      </c>
      <c r="M7" s="45" t="n">
        <v>0.07099999999999999</v>
      </c>
      <c r="O7" s="33" t="n"/>
      <c r="P7" s="33" t="n"/>
    </row>
    <row r="8">
      <c r="A8" s="50" t="n">
        <v>4</v>
      </c>
      <c r="B8" s="41" t="inlineStr">
        <is>
          <t>Moldes y Troqueles</t>
        </is>
      </c>
      <c r="C8" s="41" t="inlineStr">
        <is>
          <t>Metalmecánica y Materiales</t>
        </is>
      </c>
      <c r="D8" s="41" t="inlineStr">
        <is>
          <t>Tecnólogo</t>
        </is>
      </c>
      <c r="E8" s="42" t="n">
        <v>2</v>
      </c>
      <c r="F8" s="42" t="n">
        <v>53</v>
      </c>
      <c r="G8" s="42" t="n">
        <v>19</v>
      </c>
      <c r="H8" s="43" t="n">
        <v>0.3585</v>
      </c>
      <c r="I8" s="43" t="n">
        <v>0.243</v>
      </c>
      <c r="J8" s="43" t="n">
        <v>0.4931</v>
      </c>
      <c r="K8" s="43" t="n">
        <v>0.3454</v>
      </c>
      <c r="L8" s="51" t="n">
        <v>8.27</v>
      </c>
      <c r="M8" s="43" t="n">
        <v>0.0333</v>
      </c>
      <c r="O8" s="33" t="n"/>
      <c r="P8" s="33" t="n"/>
    </row>
    <row r="9">
      <c r="A9" s="48" t="n">
        <v>5</v>
      </c>
      <c r="B9" s="24" t="inlineStr">
        <is>
          <t>Productos Plásticos</t>
        </is>
      </c>
      <c r="C9" s="24" t="inlineStr">
        <is>
          <t>Plásticos y Polímeros</t>
        </is>
      </c>
      <c r="D9" s="24" t="inlineStr">
        <is>
          <t>Tecnólogo</t>
        </is>
      </c>
      <c r="E9" s="44" t="n">
        <v>1</v>
      </c>
      <c r="F9" s="44" t="n">
        <v>19</v>
      </c>
      <c r="G9" s="44" t="n">
        <v>7</v>
      </c>
      <c r="H9" s="45" t="n">
        <v>0.3684</v>
      </c>
      <c r="I9" s="45" t="n">
        <v>0.1915</v>
      </c>
      <c r="J9" s="45" t="n">
        <v>0.5896</v>
      </c>
      <c r="K9" s="45" t="n">
        <v>0.3365</v>
      </c>
      <c r="L9" s="49" t="n">
        <v>9.26</v>
      </c>
      <c r="M9" s="45" t="n">
        <v>0.0119</v>
      </c>
      <c r="O9" s="33" t="n"/>
      <c r="P9" s="33" t="n"/>
    </row>
    <row r="10">
      <c r="A10" s="50" t="n">
        <v>6</v>
      </c>
      <c r="B10" s="41" t="inlineStr">
        <is>
          <t>Sistemas Integrados de Gestión</t>
        </is>
      </c>
      <c r="C10" s="41" t="inlineStr">
        <is>
          <t>Gestión y Sistemas</t>
        </is>
      </c>
      <c r="D10" s="41" t="inlineStr">
        <is>
          <t>Tecnólogo</t>
        </is>
      </c>
      <c r="E10" s="42" t="n">
        <v>15</v>
      </c>
      <c r="F10" s="42" t="n">
        <v>484</v>
      </c>
      <c r="G10" s="42" t="n">
        <v>153</v>
      </c>
      <c r="H10" s="43" t="n">
        <v>0.3161</v>
      </c>
      <c r="I10" s="43" t="n">
        <v>0.2763</v>
      </c>
      <c r="J10" s="43" t="n">
        <v>0.3588</v>
      </c>
      <c r="K10" s="43" t="n">
        <v>0.3153</v>
      </c>
      <c r="L10" s="51" t="n">
        <v>4.03</v>
      </c>
      <c r="M10" s="43" t="n">
        <v>0.304</v>
      </c>
      <c r="O10" s="33" t="n"/>
      <c r="P10" s="33" t="n"/>
    </row>
    <row r="11">
      <c r="A11" s="48" t="n">
        <v>7</v>
      </c>
      <c r="B11" s="24" t="inlineStr">
        <is>
          <t>Producción Industrial</t>
        </is>
      </c>
      <c r="C11" s="24" t="inlineStr">
        <is>
          <t>Producción Industrial</t>
        </is>
      </c>
      <c r="D11" s="24" t="inlineStr">
        <is>
          <t>Tecnólogo</t>
        </is>
      </c>
      <c r="E11" s="44" t="n">
        <v>6</v>
      </c>
      <c r="F11" s="44" t="n">
        <v>183</v>
      </c>
      <c r="G11" s="44" t="n">
        <v>58</v>
      </c>
      <c r="H11" s="45" t="n">
        <v>0.3169</v>
      </c>
      <c r="I11" s="45" t="n">
        <v>0.2539</v>
      </c>
      <c r="J11" s="45" t="n">
        <v>0.3875</v>
      </c>
      <c r="K11" s="45" t="n">
        <v>0.3148</v>
      </c>
      <c r="L11" s="49" t="n">
        <v>4.11</v>
      </c>
      <c r="M11" s="45" t="n">
        <v>0.1149</v>
      </c>
    </row>
    <row r="12">
      <c r="A12" s="50" t="n">
        <v>8</v>
      </c>
      <c r="B12" s="41" t="inlineStr">
        <is>
          <t>Modelado 3D</t>
        </is>
      </c>
      <c r="C12" s="41" t="inlineStr">
        <is>
          <t>Diseño y Manufactura</t>
        </is>
      </c>
      <c r="D12" s="41" t="inlineStr">
        <is>
          <t>Tecnólogo</t>
        </is>
      </c>
      <c r="E12" s="42" t="n">
        <v>2</v>
      </c>
      <c r="F12" s="42" t="n">
        <v>52</v>
      </c>
      <c r="G12" s="42" t="n">
        <v>16</v>
      </c>
      <c r="H12" s="43" t="n">
        <v>0.3077</v>
      </c>
      <c r="I12" s="43" t="n">
        <v>0.1991</v>
      </c>
      <c r="J12" s="43" t="n">
        <v>0.4427</v>
      </c>
      <c r="K12" s="43" t="n">
        <v>0.3025</v>
      </c>
      <c r="L12" s="51" t="n">
        <v>3.19</v>
      </c>
      <c r="M12" s="43" t="n">
        <v>0.0327</v>
      </c>
    </row>
    <row r="13">
      <c r="A13" s="48" t="n">
        <v>9</v>
      </c>
      <c r="B13" s="24" t="inlineStr">
        <is>
          <t>Gestión de Proyectos</t>
        </is>
      </c>
      <c r="C13" s="24" t="inlineStr">
        <is>
          <t>Gestión y Sistemas</t>
        </is>
      </c>
      <c r="D13" s="24" t="inlineStr">
        <is>
          <t>Tecnólogo</t>
        </is>
      </c>
      <c r="E13" s="44" t="n">
        <v>9</v>
      </c>
      <c r="F13" s="44" t="n">
        <v>235</v>
      </c>
      <c r="G13" s="44" t="n">
        <v>66</v>
      </c>
      <c r="H13" s="45" t="n">
        <v>0.2809</v>
      </c>
      <c r="I13" s="45" t="n">
        <v>0.2273</v>
      </c>
      <c r="J13" s="45" t="n">
        <v>0.3415</v>
      </c>
      <c r="K13" s="45" t="n">
        <v>0.2806</v>
      </c>
      <c r="L13" s="49" t="n">
        <v>0.51</v>
      </c>
      <c r="M13" s="45" t="n">
        <v>0.1476</v>
      </c>
    </row>
    <row r="14">
      <c r="A14" s="50" t="n">
        <v>10</v>
      </c>
      <c r="B14" s="41" t="inlineStr">
        <is>
          <t>Componentes Mecánicos</t>
        </is>
      </c>
      <c r="C14" s="41" t="inlineStr">
        <is>
          <t>Metalmecánica y Materiales</t>
        </is>
      </c>
      <c r="D14" s="41" t="inlineStr">
        <is>
          <t>Tecnólogo</t>
        </is>
      </c>
      <c r="E14" s="42" t="n">
        <v>3</v>
      </c>
      <c r="F14" s="42" t="n">
        <v>84</v>
      </c>
      <c r="G14" s="42" t="n">
        <v>20</v>
      </c>
      <c r="H14" s="43" t="n">
        <v>0.2381</v>
      </c>
      <c r="I14" s="43" t="n">
        <v>0.1597</v>
      </c>
      <c r="J14" s="43" t="n">
        <v>0.3394</v>
      </c>
      <c r="K14" s="43" t="n">
        <v>0.2421</v>
      </c>
      <c r="L14" s="51" t="n">
        <v>-3.77</v>
      </c>
      <c r="M14" s="43" t="n">
        <v>0.0528</v>
      </c>
    </row>
    <row r="15">
      <c r="A15" s="48" t="n">
        <v>11</v>
      </c>
      <c r="B15" s="24" t="inlineStr">
        <is>
          <t>Modelado de Productos</t>
        </is>
      </c>
      <c r="C15" s="24" t="inlineStr">
        <is>
          <t>Diseño y Manufactura</t>
        </is>
      </c>
      <c r="D15" s="24" t="inlineStr">
        <is>
          <t>Tecnólogo</t>
        </is>
      </c>
      <c r="E15" s="44" t="n">
        <v>4</v>
      </c>
      <c r="F15" s="44" t="n">
        <v>101</v>
      </c>
      <c r="G15" s="44" t="n">
        <v>23</v>
      </c>
      <c r="H15" s="45" t="n">
        <v>0.2277</v>
      </c>
      <c r="I15" s="45" t="n">
        <v>0.1568</v>
      </c>
      <c r="J15" s="45" t="n">
        <v>0.3186</v>
      </c>
      <c r="K15" s="45" t="n">
        <v>0.232</v>
      </c>
      <c r="L15" s="49" t="n">
        <v>-4.81</v>
      </c>
      <c r="M15" s="45" t="n">
        <v>0.0634</v>
      </c>
    </row>
    <row r="16">
      <c r="A16" s="50" t="n">
        <v>12</v>
      </c>
      <c r="B16" s="41" t="inlineStr">
        <is>
          <t>Monitoreo Ambiental</t>
        </is>
      </c>
      <c r="C16" s="41" t="inlineStr">
        <is>
          <t>Ambiental</t>
        </is>
      </c>
      <c r="D16" s="41" t="inlineStr">
        <is>
          <t>Tecnólogo</t>
        </is>
      </c>
      <c r="E16" s="42" t="n">
        <v>4</v>
      </c>
      <c r="F16" s="42" t="n">
        <v>149</v>
      </c>
      <c r="G16" s="42" t="n">
        <v>16</v>
      </c>
      <c r="H16" s="43" t="n">
        <v>0.1074</v>
      </c>
      <c r="I16" s="43" t="n">
        <v>0.0672</v>
      </c>
      <c r="J16" s="43" t="n">
        <v>0.1673</v>
      </c>
      <c r="K16" s="43" t="n">
        <v>0.118</v>
      </c>
      <c r="L16" s="51" t="n">
        <v>-16.84</v>
      </c>
      <c r="M16" s="43" t="n">
        <v>0.0936</v>
      </c>
    </row>
    <row r="17">
      <c r="A17" s="48" t="n">
        <v>13</v>
      </c>
      <c r="B17" s="24" t="inlineStr">
        <is>
          <t>Alistamiento de Laboratorios</t>
        </is>
      </c>
      <c r="C17" s="24" t="inlineStr">
        <is>
          <t>Química y Laboratorio</t>
        </is>
      </c>
      <c r="D17" s="24" t="inlineStr">
        <is>
          <t>Técnico</t>
        </is>
      </c>
      <c r="E17" s="44" t="n">
        <v>1</v>
      </c>
      <c r="F17" s="44" t="n">
        <v>18</v>
      </c>
      <c r="G17" s="44" t="n">
        <v>0</v>
      </c>
      <c r="H17" s="45" t="n">
        <v>0</v>
      </c>
      <c r="I17" s="45" t="n">
        <v>0</v>
      </c>
      <c r="J17" s="45" t="n">
        <v>0.1759</v>
      </c>
      <c r="K17" s="45" t="n">
        <v>0.0985</v>
      </c>
      <c r="L17" s="49" t="n">
        <v>-27.58</v>
      </c>
      <c r="M17" s="45" t="n">
        <v>0.0113</v>
      </c>
    </row>
    <row r="18">
      <c r="A18" s="50" t="n">
        <v>14</v>
      </c>
      <c r="B18" s="41" t="inlineStr">
        <is>
          <t>Transformación de Polímeros</t>
        </is>
      </c>
      <c r="C18" s="41" t="inlineStr">
        <is>
          <t>Plásticos y Polímeros</t>
        </is>
      </c>
      <c r="D18" s="41" t="inlineStr">
        <is>
          <t>Tecnólogo</t>
        </is>
      </c>
      <c r="E18" s="42" t="n">
        <v>1</v>
      </c>
      <c r="F18" s="42" t="n">
        <v>23</v>
      </c>
      <c r="G18" s="42" t="n">
        <v>0</v>
      </c>
      <c r="H18" s="43" t="n">
        <v>0</v>
      </c>
      <c r="I18" s="43" t="n">
        <v>0</v>
      </c>
      <c r="J18" s="43" t="n">
        <v>0.1431</v>
      </c>
      <c r="K18" s="43" t="n">
        <v>0.08359999999999999</v>
      </c>
      <c r="L18" s="51" t="n">
        <v>-27.58</v>
      </c>
      <c r="M18" s="43" t="n">
        <v>0.0144</v>
      </c>
    </row>
    <row r="19">
      <c r="A19" s="48" t="n">
        <v>15</v>
      </c>
      <c r="B19" s="24" t="inlineStr">
        <is>
          <t>Manufactura Baxter</t>
        </is>
      </c>
      <c r="C19" s="24" t="inlineStr">
        <is>
          <t>Metalmecánica y Materiales</t>
        </is>
      </c>
      <c r="D19" s="24" t="inlineStr">
        <is>
          <t>Técnico</t>
        </is>
      </c>
      <c r="E19" s="44" t="n">
        <v>1</v>
      </c>
      <c r="F19" s="44" t="n">
        <v>26</v>
      </c>
      <c r="G19" s="44" t="n">
        <v>0</v>
      </c>
      <c r="H19" s="45" t="n">
        <v>0</v>
      </c>
      <c r="I19" s="45" t="n">
        <v>0</v>
      </c>
      <c r="J19" s="45" t="n">
        <v>0.1287</v>
      </c>
      <c r="K19" s="45" t="n">
        <v>0.0766</v>
      </c>
      <c r="L19" s="49" t="n">
        <v>-27.58</v>
      </c>
      <c r="M19" s="45" t="n">
        <v>0.0163</v>
      </c>
    </row>
    <row r="22" ht="38" customHeight="1">
      <c r="A22" s="52" t="inlineStr">
        <is>
          <t>Los intervalos son amplios en programas con una sola ficha o pocos aprendices. El ranking es descriptivo: no prueba causalidad ni ajusta por clustering intra-ficha. La tasa ajustada EB contrae los tamaños pequeños hacia la media global.</t>
        </is>
      </c>
      <c r="B22" s="29" t="n"/>
      <c r="C22" s="29" t="n"/>
      <c r="D22" s="29" t="n"/>
      <c r="E22" s="29" t="n"/>
      <c r="F22" s="29" t="n"/>
      <c r="G22" s="29" t="n"/>
      <c r="H22" s="29" t="n"/>
      <c r="I22" s="29" t="n"/>
      <c r="J22" s="29" t="n"/>
      <c r="K22" s="29" t="n"/>
      <c r="L22" s="29" t="n"/>
      <c r="M22" s="29" t="n"/>
    </row>
  </sheetData>
  <mergeCells count="4">
    <mergeCell ref="A1:P1"/>
    <mergeCell ref="O4:P10"/>
    <mergeCell ref="A22:M22"/>
    <mergeCell ref="A2:P2"/>
  </mergeCells>
  <conditionalFormatting sqref="H5:H19">
    <cfRule type="colorScale" priority="1">
      <colorScale>
        <cfvo type="num" val="0"/>
        <cfvo type="num" val="0.28"/>
        <cfvo type="num" val="0.55"/>
        <color rgb="00C6EFCE"/>
        <color rgb="00FFEB9C"/>
        <color rgb="00F4B6B6"/>
      </colorScale>
    </cfRule>
  </conditionalFormatting>
  <pageMargins left="0.35" right="0.35" top="0.45" bottom="0.45" header="0.5" footer="0.5"/>
  <pageSetup orientation="landscape" fitToHeight="1" fitToWidth="1"/>
  <headerFooter>
    <oddHeader/>
    <oddFooter>&amp;C&amp;8 &amp;K808080Caracterización de Aprendices Centro ASTIN · Corte 19/10/2026 · Datos sin PII</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Q6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2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20" customWidth="1" min="17" max="17"/>
  </cols>
  <sheetData>
    <row r="1" ht="38" customHeight="1">
      <c r="A1" s="35" t="inlineStr">
        <is>
          <t>Fichas</t>
        </is>
      </c>
      <c r="B1" s="2" t="n"/>
      <c r="C1" s="2" t="n"/>
      <c r="D1" s="2" t="n"/>
      <c r="E1" s="2" t="n"/>
      <c r="F1" s="2" t="n"/>
      <c r="G1" s="2" t="n"/>
      <c r="H1" s="2" t="n"/>
      <c r="I1" s="2" t="n"/>
      <c r="J1" s="2" t="n"/>
      <c r="K1" s="2" t="n"/>
      <c r="L1" s="2" t="n"/>
      <c r="M1" s="2" t="n"/>
      <c r="N1" s="2" t="n"/>
      <c r="O1" s="2" t="n"/>
      <c r="P1" s="2" t="n"/>
      <c r="Q1" s="2" t="n"/>
    </row>
    <row r="2" ht="24" customHeight="1">
      <c r="A2" s="36" t="inlineStr">
        <is>
          <t>Detalle de las 56 fichas: volumen, pérdida, riesgo estructural y prioridad.</t>
        </is>
      </c>
      <c r="B2" s="37" t="n"/>
      <c r="C2" s="37" t="n"/>
      <c r="D2" s="37" t="n"/>
      <c r="E2" s="37" t="n"/>
      <c r="F2" s="37" t="n"/>
      <c r="G2" s="37" t="n"/>
      <c r="H2" s="37" t="n"/>
      <c r="I2" s="37" t="n"/>
      <c r="J2" s="37" t="n"/>
      <c r="K2" s="37" t="n"/>
      <c r="L2" s="37" t="n"/>
      <c r="M2" s="37" t="n"/>
      <c r="N2" s="37" t="n"/>
      <c r="O2" s="37" t="n"/>
      <c r="P2" s="37" t="n"/>
      <c r="Q2" s="37" t="n"/>
    </row>
    <row r="4" ht="27" customHeight="1">
      <c r="A4" s="40" t="inlineStr">
        <is>
          <t>Ficha</t>
        </is>
      </c>
      <c r="B4" s="40" t="inlineStr">
        <is>
          <t>Programa</t>
        </is>
      </c>
      <c r="C4" s="40" t="inlineStr">
        <is>
          <t>Jornada</t>
        </is>
      </c>
      <c r="D4" s="40" t="inlineStr">
        <is>
          <t>Generación</t>
        </is>
      </c>
      <c r="E4" s="40" t="inlineStr">
        <is>
          <t>Matrículas</t>
        </is>
      </c>
      <c r="F4" s="40" t="inlineStr">
        <is>
          <t>Vinculados</t>
        </is>
      </c>
      <c r="G4" s="40" t="inlineStr">
        <is>
          <t>Cancelados</t>
        </is>
      </c>
      <c r="H4" s="40" t="inlineStr">
        <is>
          <t>Retiros</t>
        </is>
      </c>
      <c r="I4" s="40" t="inlineStr">
        <is>
          <t>Tasa de pérdida</t>
        </is>
      </c>
      <c r="J4" s="40" t="inlineStr">
        <is>
          <t>Índice de riesgo</t>
        </is>
      </c>
      <c r="K4" s="40" t="inlineStr">
        <is>
          <t>Nivel de riesgo</t>
        </is>
      </c>
      <c r="L4" s="40" t="inlineStr">
        <is>
          <t>Ranking</t>
        </is>
      </c>
      <c r="M4" s="40" t="inlineStr">
        <is>
          <t>Prob. pérdida ficha</t>
        </is>
      </c>
      <c r="N4" s="40" t="inlineStr">
        <is>
          <t>IC 95% inf.</t>
        </is>
      </c>
      <c r="O4" s="40" t="inlineStr">
        <is>
          <t>IC 95% sup.</t>
        </is>
      </c>
      <c r="P4" s="40" t="inlineStr">
        <is>
          <t>Prioridad</t>
        </is>
      </c>
      <c r="Q4" s="40" t="inlineStr">
        <is>
          <t>Alerta principal</t>
        </is>
      </c>
    </row>
    <row r="5">
      <c r="A5" s="48" t="inlineStr">
        <is>
          <t>3171493</t>
        </is>
      </c>
      <c r="B5" s="24" t="inlineStr">
        <is>
          <t>Producción Industrial</t>
        </is>
      </c>
      <c r="C5" s="24" t="inlineStr">
        <is>
          <t>NOCTURNA</t>
        </is>
      </c>
      <c r="D5" s="24" t="inlineStr">
        <is>
          <t>GEN-317</t>
        </is>
      </c>
      <c r="E5" s="48" t="n">
        <v>29</v>
      </c>
      <c r="F5" s="44" t="n">
        <v>11</v>
      </c>
      <c r="G5" s="44" t="n">
        <v>18</v>
      </c>
      <c r="H5" s="44" t="n">
        <v>0</v>
      </c>
      <c r="I5" s="45" t="n">
        <v>0.6207</v>
      </c>
      <c r="J5" s="53" t="n">
        <v>100</v>
      </c>
      <c r="K5" s="24" t="inlineStr">
        <is>
          <t>Crítico</t>
        </is>
      </c>
      <c r="L5" s="48" t="n">
        <v>1</v>
      </c>
      <c r="M5" s="45" t="n">
        <v>0.5322</v>
      </c>
      <c r="N5" s="45" t="n">
        <v>0.3769</v>
      </c>
      <c r="O5" s="45" t="n">
        <v>0.6844</v>
      </c>
      <c r="P5" s="24" t="inlineStr">
        <is>
          <t>P1</t>
        </is>
      </c>
      <c r="Q5" s="24" t="inlineStr">
        <is>
          <t>Tasa de pérdida</t>
        </is>
      </c>
    </row>
    <row r="6">
      <c r="A6" s="50" t="inlineStr">
        <is>
          <t>3181464</t>
        </is>
      </c>
      <c r="B6" s="41" t="inlineStr">
        <is>
          <t>Sistemas Integrados de Gestión</t>
        </is>
      </c>
      <c r="C6" s="41" t="inlineStr">
        <is>
          <t>NOCTURNA</t>
        </is>
      </c>
      <c r="D6" s="41" t="inlineStr">
        <is>
          <t>GEN-318</t>
        </is>
      </c>
      <c r="E6" s="50" t="n">
        <v>31</v>
      </c>
      <c r="F6" s="42" t="n">
        <v>9</v>
      </c>
      <c r="G6" s="42" t="n">
        <v>19</v>
      </c>
      <c r="H6" s="42" t="n">
        <v>0</v>
      </c>
      <c r="I6" s="43" t="n">
        <v>0.6129</v>
      </c>
      <c r="J6" s="54" t="n">
        <v>98.2</v>
      </c>
      <c r="K6" s="41" t="inlineStr">
        <is>
          <t>Crítico</t>
        </is>
      </c>
      <c r="L6" s="50" t="n">
        <v>2</v>
      </c>
      <c r="M6" s="43" t="n">
        <v>0.5306999999999999</v>
      </c>
      <c r="N6" s="43" t="n">
        <v>0.3791</v>
      </c>
      <c r="O6" s="43" t="n">
        <v>0.6794</v>
      </c>
      <c r="P6" s="41" t="inlineStr">
        <is>
          <t>P1</t>
        </is>
      </c>
      <c r="Q6" s="41" t="inlineStr">
        <is>
          <t>Tasa de pérdida</t>
        </is>
      </c>
    </row>
    <row r="7">
      <c r="A7" s="48" t="inlineStr">
        <is>
          <t>3145899</t>
        </is>
      </c>
      <c r="B7" s="24" t="inlineStr">
        <is>
          <t>Química Aplicada</t>
        </is>
      </c>
      <c r="C7" s="24" t="inlineStr">
        <is>
          <t>DIURNA</t>
        </is>
      </c>
      <c r="D7" s="24" t="inlineStr">
        <is>
          <t>GEN-314</t>
        </is>
      </c>
      <c r="E7" s="48" t="n">
        <v>30</v>
      </c>
      <c r="F7" s="44" t="n">
        <v>12</v>
      </c>
      <c r="G7" s="44" t="n">
        <v>18</v>
      </c>
      <c r="H7" s="44" t="n">
        <v>0</v>
      </c>
      <c r="I7" s="45" t="n">
        <v>0.6</v>
      </c>
      <c r="J7" s="53" t="n">
        <v>96.40000000000001</v>
      </c>
      <c r="K7" s="24" t="inlineStr">
        <is>
          <t>Crítico</t>
        </is>
      </c>
      <c r="L7" s="48" t="n">
        <v>3</v>
      </c>
      <c r="M7" s="45" t="n">
        <v>0.5189</v>
      </c>
      <c r="N7" s="45" t="n">
        <v>0.366</v>
      </c>
      <c r="O7" s="45" t="n">
        <v>0.6701</v>
      </c>
      <c r="P7" s="24" t="inlineStr">
        <is>
          <t>P1</t>
        </is>
      </c>
      <c r="Q7" s="24" t="inlineStr">
        <is>
          <t>Tasa de pérdida</t>
        </is>
      </c>
    </row>
    <row r="8">
      <c r="A8" s="50" t="inlineStr">
        <is>
          <t>3302821</t>
        </is>
      </c>
      <c r="B8" s="41" t="inlineStr">
        <is>
          <t>Sistemas Integrados de Gestión</t>
        </is>
      </c>
      <c r="C8" s="41" t="inlineStr">
        <is>
          <t>NOCTURNA</t>
        </is>
      </c>
      <c r="D8" s="41" t="inlineStr">
        <is>
          <t>GEN-330</t>
        </is>
      </c>
      <c r="E8" s="50" t="n">
        <v>46</v>
      </c>
      <c r="F8" s="42" t="n">
        <v>21</v>
      </c>
      <c r="G8" s="42" t="n">
        <v>25</v>
      </c>
      <c r="H8" s="42" t="n">
        <v>0</v>
      </c>
      <c r="I8" s="43" t="n">
        <v>0.5435</v>
      </c>
      <c r="J8" s="54" t="n">
        <v>94.5</v>
      </c>
      <c r="K8" s="41" t="inlineStr">
        <is>
          <t>Crítico</t>
        </is>
      </c>
      <c r="L8" s="50" t="n">
        <v>4</v>
      </c>
      <c r="M8" s="43" t="n">
        <v>0.4957</v>
      </c>
      <c r="N8" s="43" t="n">
        <v>0.3665</v>
      </c>
      <c r="O8" s="43" t="n">
        <v>0.6251</v>
      </c>
      <c r="P8" s="41" t="inlineStr">
        <is>
          <t>P1</t>
        </is>
      </c>
      <c r="Q8" s="41" t="inlineStr">
        <is>
          <t>Tasa de pérdida</t>
        </is>
      </c>
    </row>
    <row r="9">
      <c r="A9" s="48" t="inlineStr">
        <is>
          <t>3141025</t>
        </is>
      </c>
      <c r="B9" s="24" t="inlineStr">
        <is>
          <t>Sistemas Integrados de Gestión</t>
        </is>
      </c>
      <c r="C9" s="24" t="inlineStr">
        <is>
          <t>NOCTURNA</t>
        </is>
      </c>
      <c r="D9" s="24" t="inlineStr">
        <is>
          <t>GEN-314</t>
        </is>
      </c>
      <c r="E9" s="48" t="n">
        <v>31</v>
      </c>
      <c r="F9" s="44" t="n">
        <v>14</v>
      </c>
      <c r="G9" s="44" t="n">
        <v>16</v>
      </c>
      <c r="H9" s="44" t="n">
        <v>1</v>
      </c>
      <c r="I9" s="45" t="n">
        <v>0.5484</v>
      </c>
      <c r="J9" s="53" t="n">
        <v>92.7</v>
      </c>
      <c r="K9" s="24" t="inlineStr">
        <is>
          <t>Crítico</t>
        </is>
      </c>
      <c r="L9" s="48" t="n">
        <v>5</v>
      </c>
      <c r="M9" s="45" t="n">
        <v>0.4819</v>
      </c>
      <c r="N9" s="45" t="n">
        <v>0.3324</v>
      </c>
      <c r="O9" s="45" t="n">
        <v>0.633</v>
      </c>
      <c r="P9" s="24" t="inlineStr">
        <is>
          <t>P1</t>
        </is>
      </c>
      <c r="Q9" s="24" t="inlineStr">
        <is>
          <t>Tasa de pérdida</t>
        </is>
      </c>
    </row>
    <row r="10">
      <c r="A10" s="50" t="inlineStr">
        <is>
          <t>3302143</t>
        </is>
      </c>
      <c r="B10" s="41" t="inlineStr">
        <is>
          <t>Sistemas Integrados de Gestión</t>
        </is>
      </c>
      <c r="C10" s="41" t="inlineStr">
        <is>
          <t>DIURNA</t>
        </is>
      </c>
      <c r="D10" s="41" t="inlineStr">
        <is>
          <t>GEN-330</t>
        </is>
      </c>
      <c r="E10" s="50" t="n">
        <v>39</v>
      </c>
      <c r="F10" s="42" t="n">
        <v>20</v>
      </c>
      <c r="G10" s="42" t="n">
        <v>18</v>
      </c>
      <c r="H10" s="42" t="n">
        <v>1</v>
      </c>
      <c r="I10" s="43" t="n">
        <v>0.4872</v>
      </c>
      <c r="J10" s="54" t="n">
        <v>90.90000000000001</v>
      </c>
      <c r="K10" s="41" t="inlineStr">
        <is>
          <t>Crítico</t>
        </is>
      </c>
      <c r="L10" s="50" t="n">
        <v>6</v>
      </c>
      <c r="M10" s="43" t="n">
        <v>0.444</v>
      </c>
      <c r="N10" s="43" t="n">
        <v>0.3091</v>
      </c>
      <c r="O10" s="43" t="n">
        <v>0.5833</v>
      </c>
      <c r="P10" s="41" t="inlineStr">
        <is>
          <t>P1</t>
        </is>
      </c>
      <c r="Q10" s="41" t="inlineStr">
        <is>
          <t>Tasa de pérdida</t>
        </is>
      </c>
    </row>
    <row r="11">
      <c r="A11" s="48" t="inlineStr">
        <is>
          <t>3179876</t>
        </is>
      </c>
      <c r="B11" s="24" t="inlineStr">
        <is>
          <t>Gestión de Proyectos</t>
        </is>
      </c>
      <c r="C11" s="24" t="inlineStr">
        <is>
          <t>NOCTURNA</t>
        </is>
      </c>
      <c r="D11" s="24" t="inlineStr">
        <is>
          <t>GEN-317</t>
        </is>
      </c>
      <c r="E11" s="48" t="n">
        <v>26</v>
      </c>
      <c r="F11" s="44" t="n">
        <v>13</v>
      </c>
      <c r="G11" s="44" t="n">
        <v>11</v>
      </c>
      <c r="H11" s="44" t="n">
        <v>2</v>
      </c>
      <c r="I11" s="45" t="n">
        <v>0.5</v>
      </c>
      <c r="J11" s="53" t="n">
        <v>89.09999999999999</v>
      </c>
      <c r="K11" s="24" t="inlineStr">
        <is>
          <t>Alto</t>
        </is>
      </c>
      <c r="L11" s="48" t="n">
        <v>7</v>
      </c>
      <c r="M11" s="45" t="n">
        <v>0.4377</v>
      </c>
      <c r="N11" s="45" t="n">
        <v>0.2822</v>
      </c>
      <c r="O11" s="45" t="n">
        <v>0.5998</v>
      </c>
      <c r="P11" s="24" t="inlineStr">
        <is>
          <t>P2</t>
        </is>
      </c>
      <c r="Q11" s="24" t="inlineStr">
        <is>
          <t>Tasa de pérdida</t>
        </is>
      </c>
    </row>
    <row r="12">
      <c r="A12" s="50" t="inlineStr">
        <is>
          <t>3350110</t>
        </is>
      </c>
      <c r="B12" s="41" t="inlineStr">
        <is>
          <t>Componentes Mecánicos</t>
        </is>
      </c>
      <c r="C12" s="41" t="inlineStr">
        <is>
          <t>NOCTURNA</t>
        </is>
      </c>
      <c r="D12" s="41" t="inlineStr">
        <is>
          <t>GEN-335</t>
        </is>
      </c>
      <c r="E12" s="50" t="n">
        <v>24</v>
      </c>
      <c r="F12" s="42" t="n">
        <v>12</v>
      </c>
      <c r="G12" s="42" t="n">
        <v>12</v>
      </c>
      <c r="H12" s="42" t="n">
        <v>0</v>
      </c>
      <c r="I12" s="43" t="n">
        <v>0.5</v>
      </c>
      <c r="J12" s="54" t="n">
        <v>87.3</v>
      </c>
      <c r="K12" s="41" t="inlineStr">
        <is>
          <t>Alto</t>
        </is>
      </c>
      <c r="L12" s="50" t="n">
        <v>8</v>
      </c>
      <c r="M12" s="43" t="n">
        <v>0.434</v>
      </c>
      <c r="N12" s="43" t="n">
        <v>0.2746</v>
      </c>
      <c r="O12" s="43" t="n">
        <v>0.6008</v>
      </c>
      <c r="P12" s="41" t="inlineStr">
        <is>
          <t>P2</t>
        </is>
      </c>
      <c r="Q12" s="41" t="inlineStr">
        <is>
          <t>Tasa de pérdida</t>
        </is>
      </c>
    </row>
    <row r="13">
      <c r="A13" s="48" t="inlineStr">
        <is>
          <t>3350113</t>
        </is>
      </c>
      <c r="B13" s="24" t="inlineStr">
        <is>
          <t>Moldes y Troqueles</t>
        </is>
      </c>
      <c r="C13" s="24" t="inlineStr">
        <is>
          <t>NOCTURNA</t>
        </is>
      </c>
      <c r="D13" s="24" t="inlineStr">
        <is>
          <t>GEN-335</t>
        </is>
      </c>
      <c r="E13" s="48" t="n">
        <v>27</v>
      </c>
      <c r="F13" s="44" t="n">
        <v>14</v>
      </c>
      <c r="G13" s="44" t="n">
        <v>13</v>
      </c>
      <c r="H13" s="44" t="n">
        <v>0</v>
      </c>
      <c r="I13" s="45" t="n">
        <v>0.4815</v>
      </c>
      <c r="J13" s="53" t="n">
        <v>85.5</v>
      </c>
      <c r="K13" s="24" t="inlineStr">
        <is>
          <t>Alto</t>
        </is>
      </c>
      <c r="L13" s="48" t="n">
        <v>9</v>
      </c>
      <c r="M13" s="45" t="n">
        <v>0.4259</v>
      </c>
      <c r="N13" s="45" t="n">
        <v>0.2734</v>
      </c>
      <c r="O13" s="45" t="n">
        <v>0.5859</v>
      </c>
      <c r="P13" s="24" t="inlineStr">
        <is>
          <t>P2</t>
        </is>
      </c>
      <c r="Q13" s="24" t="inlineStr">
        <is>
          <t>Tasa de pérdida</t>
        </is>
      </c>
    </row>
    <row r="14">
      <c r="A14" s="50" t="inlineStr">
        <is>
          <t>3171643</t>
        </is>
      </c>
      <c r="B14" s="41" t="inlineStr">
        <is>
          <t>Análisis de Materiales</t>
        </is>
      </c>
      <c r="C14" s="41" t="inlineStr">
        <is>
          <t>DIURNA</t>
        </is>
      </c>
      <c r="D14" s="41" t="inlineStr">
        <is>
          <t>GEN-317</t>
        </is>
      </c>
      <c r="E14" s="50" t="n">
        <v>18</v>
      </c>
      <c r="F14" s="42" t="n">
        <v>9</v>
      </c>
      <c r="G14" s="42" t="n">
        <v>9</v>
      </c>
      <c r="H14" s="42" t="n">
        <v>0</v>
      </c>
      <c r="I14" s="43" t="n">
        <v>0.5</v>
      </c>
      <c r="J14" s="54" t="n">
        <v>83.59999999999999</v>
      </c>
      <c r="K14" s="41" t="inlineStr">
        <is>
          <t>Alto</t>
        </is>
      </c>
      <c r="L14" s="50" t="n">
        <v>10</v>
      </c>
      <c r="M14" s="43" t="n">
        <v>0.4199</v>
      </c>
      <c r="N14" s="43" t="n">
        <v>0.2472</v>
      </c>
      <c r="O14" s="43" t="n">
        <v>0.6035</v>
      </c>
      <c r="P14" s="41" t="inlineStr">
        <is>
          <t>P2</t>
        </is>
      </c>
      <c r="Q14" s="41" t="inlineStr">
        <is>
          <t>Tasa de pérdida</t>
        </is>
      </c>
    </row>
    <row r="15">
      <c r="A15" s="48" t="inlineStr">
        <is>
          <t>3179887</t>
        </is>
      </c>
      <c r="B15" s="24" t="inlineStr">
        <is>
          <t>Producción Industrial</t>
        </is>
      </c>
      <c r="C15" s="24" t="inlineStr">
        <is>
          <t>NOCTURNA</t>
        </is>
      </c>
      <c r="D15" s="24" t="inlineStr">
        <is>
          <t>GEN-317</t>
        </is>
      </c>
      <c r="E15" s="48" t="n">
        <v>30</v>
      </c>
      <c r="F15" s="44" t="n">
        <v>16</v>
      </c>
      <c r="G15" s="44" t="n">
        <v>14</v>
      </c>
      <c r="H15" s="44" t="n">
        <v>0</v>
      </c>
      <c r="I15" s="45" t="n">
        <v>0.4667</v>
      </c>
      <c r="J15" s="53" t="n">
        <v>80.90000000000001</v>
      </c>
      <c r="K15" s="24" t="inlineStr">
        <is>
          <t>Alto</t>
        </is>
      </c>
      <c r="L15" s="48" t="n">
        <v>11</v>
      </c>
      <c r="M15" s="45" t="n">
        <v>0.4189</v>
      </c>
      <c r="N15" s="45" t="n">
        <v>0.2726</v>
      </c>
      <c r="O15" s="45" t="n">
        <v>0.5729</v>
      </c>
      <c r="P15" s="24" t="inlineStr">
        <is>
          <t>P2</t>
        </is>
      </c>
      <c r="Q15" s="24" t="inlineStr">
        <is>
          <t>Tasa de pérdida</t>
        </is>
      </c>
    </row>
    <row r="16">
      <c r="A16" s="50" t="inlineStr">
        <is>
          <t>3302147</t>
        </is>
      </c>
      <c r="B16" s="41" t="inlineStr">
        <is>
          <t>Gestión de Proyectos</t>
        </is>
      </c>
      <c r="C16" s="41" t="inlineStr">
        <is>
          <t>DIURNA</t>
        </is>
      </c>
      <c r="D16" s="41" t="inlineStr">
        <is>
          <t>GEN-330</t>
        </is>
      </c>
      <c r="E16" s="50" t="n">
        <v>30</v>
      </c>
      <c r="F16" s="42" t="n">
        <v>16</v>
      </c>
      <c r="G16" s="42" t="n">
        <v>14</v>
      </c>
      <c r="H16" s="42" t="n">
        <v>0</v>
      </c>
      <c r="I16" s="43" t="n">
        <v>0.4667</v>
      </c>
      <c r="J16" s="54" t="n">
        <v>80.90000000000001</v>
      </c>
      <c r="K16" s="41" t="inlineStr">
        <is>
          <t>Alto</t>
        </is>
      </c>
      <c r="L16" s="50" t="n">
        <v>12</v>
      </c>
      <c r="M16" s="43" t="n">
        <v>0.4189</v>
      </c>
      <c r="N16" s="43" t="n">
        <v>0.2726</v>
      </c>
      <c r="O16" s="43" t="n">
        <v>0.5729</v>
      </c>
      <c r="P16" s="41" t="inlineStr">
        <is>
          <t>P2</t>
        </is>
      </c>
      <c r="Q16" s="41" t="inlineStr">
        <is>
          <t>Tasa de pérdida</t>
        </is>
      </c>
    </row>
    <row r="17">
      <c r="A17" s="48" t="inlineStr">
        <is>
          <t>3409328</t>
        </is>
      </c>
      <c r="B17" s="24" t="inlineStr">
        <is>
          <t>Procedimientos de Laboratorio</t>
        </is>
      </c>
      <c r="C17" s="24" t="inlineStr">
        <is>
          <t>DIURNA</t>
        </is>
      </c>
      <c r="D17" s="24" t="inlineStr">
        <is>
          <t>GEN-340</t>
        </is>
      </c>
      <c r="E17" s="48" t="n">
        <v>14</v>
      </c>
      <c r="F17" s="44" t="n">
        <v>7</v>
      </c>
      <c r="G17" s="44" t="n">
        <v>7</v>
      </c>
      <c r="H17" s="44" t="n">
        <v>0</v>
      </c>
      <c r="I17" s="45" t="n">
        <v>0.5</v>
      </c>
      <c r="J17" s="53" t="n">
        <v>78.2</v>
      </c>
      <c r="K17" s="24" t="inlineStr">
        <is>
          <t>Alto</t>
        </is>
      </c>
      <c r="L17" s="48" t="n">
        <v>13</v>
      </c>
      <c r="M17" s="45" t="n">
        <v>0.4066</v>
      </c>
      <c r="N17" s="45" t="n">
        <v>0.2233</v>
      </c>
      <c r="O17" s="45" t="n">
        <v>0.6046</v>
      </c>
      <c r="P17" s="24" t="inlineStr">
        <is>
          <t>P2</t>
        </is>
      </c>
      <c r="Q17" s="24" t="inlineStr">
        <is>
          <t>Tasa de pérdida</t>
        </is>
      </c>
    </row>
    <row r="18">
      <c r="A18" s="50" t="inlineStr">
        <is>
          <t>3171542</t>
        </is>
      </c>
      <c r="B18" s="41" t="inlineStr">
        <is>
          <t>Sistemas Integrados de Gestión</t>
        </is>
      </c>
      <c r="C18" s="41" t="inlineStr">
        <is>
          <t>DIURNA</t>
        </is>
      </c>
      <c r="D18" s="41" t="inlineStr">
        <is>
          <t>GEN-317</t>
        </is>
      </c>
      <c r="E18" s="50" t="n">
        <v>39</v>
      </c>
      <c r="F18" s="42" t="n">
        <v>22</v>
      </c>
      <c r="G18" s="42" t="n">
        <v>15</v>
      </c>
      <c r="H18" s="42" t="n">
        <v>2</v>
      </c>
      <c r="I18" s="43" t="n">
        <v>0.4359</v>
      </c>
      <c r="J18" s="54" t="n">
        <v>76.40000000000001</v>
      </c>
      <c r="K18" s="41" t="inlineStr">
        <is>
          <t>Alto</t>
        </is>
      </c>
      <c r="L18" s="50" t="n">
        <v>14</v>
      </c>
      <c r="M18" s="43" t="n">
        <v>0.4032</v>
      </c>
      <c r="N18" s="43" t="n">
        <v>0.2716</v>
      </c>
      <c r="O18" s="43" t="n">
        <v>0.5423</v>
      </c>
      <c r="P18" s="41" t="inlineStr">
        <is>
          <t>P2</t>
        </is>
      </c>
      <c r="Q18" s="41" t="inlineStr">
        <is>
          <t>Tasa de pérdida</t>
        </is>
      </c>
    </row>
    <row r="19">
      <c r="A19" s="48" t="inlineStr">
        <is>
          <t>3141029</t>
        </is>
      </c>
      <c r="B19" s="24" t="inlineStr">
        <is>
          <t>Gestión de Proyectos</t>
        </is>
      </c>
      <c r="C19" s="24" t="inlineStr">
        <is>
          <t>NOCTURNA</t>
        </is>
      </c>
      <c r="D19" s="24" t="inlineStr">
        <is>
          <t>GEN-314</t>
        </is>
      </c>
      <c r="E19" s="48" t="n">
        <v>30</v>
      </c>
      <c r="F19" s="44" t="n">
        <v>16</v>
      </c>
      <c r="G19" s="44" t="n">
        <v>13</v>
      </c>
      <c r="H19" s="44" t="n">
        <v>0</v>
      </c>
      <c r="I19" s="45" t="n">
        <v>0.4333</v>
      </c>
      <c r="J19" s="53" t="n">
        <v>74.5</v>
      </c>
      <c r="K19" s="24" t="inlineStr">
        <is>
          <t>Medio</t>
        </is>
      </c>
      <c r="L19" s="48" t="n">
        <v>15</v>
      </c>
      <c r="M19" s="45" t="n">
        <v>0.3939</v>
      </c>
      <c r="N19" s="45" t="n">
        <v>0.2503</v>
      </c>
      <c r="O19" s="45" t="n">
        <v>0.5476</v>
      </c>
      <c r="P19" s="24" t="inlineStr">
        <is>
          <t>P3</t>
        </is>
      </c>
      <c r="Q19" s="24" t="inlineStr">
        <is>
          <t>Tasa de pérdida</t>
        </is>
      </c>
    </row>
    <row r="20">
      <c r="A20" s="50" t="inlineStr">
        <is>
          <t>3350115</t>
        </is>
      </c>
      <c r="B20" s="41" t="inlineStr">
        <is>
          <t>Modelado de Productos</t>
        </is>
      </c>
      <c r="C20" s="41" t="inlineStr">
        <is>
          <t>DIURNA</t>
        </is>
      </c>
      <c r="D20" s="41" t="inlineStr">
        <is>
          <t>GEN-335</t>
        </is>
      </c>
      <c r="E20" s="50" t="n">
        <v>23</v>
      </c>
      <c r="F20" s="42" t="n">
        <v>13</v>
      </c>
      <c r="G20" s="42" t="n">
        <v>10</v>
      </c>
      <c r="H20" s="42" t="n">
        <v>0</v>
      </c>
      <c r="I20" s="43" t="n">
        <v>0.4348</v>
      </c>
      <c r="J20" s="54" t="n">
        <v>72.7</v>
      </c>
      <c r="K20" s="41" t="inlineStr">
        <is>
          <t>Medio</t>
        </is>
      </c>
      <c r="L20" s="50" t="n">
        <v>16</v>
      </c>
      <c r="M20" s="43" t="n">
        <v>0.3866</v>
      </c>
      <c r="N20" s="43" t="n">
        <v>0.2306</v>
      </c>
      <c r="O20" s="43" t="n">
        <v>0.5556</v>
      </c>
      <c r="P20" s="41" t="inlineStr">
        <is>
          <t>P3</t>
        </is>
      </c>
      <c r="Q20" s="41" t="inlineStr">
        <is>
          <t>Tasa de pérdida</t>
        </is>
      </c>
    </row>
    <row r="21">
      <c r="A21" s="48" t="inlineStr">
        <is>
          <t>3179874</t>
        </is>
      </c>
      <c r="B21" s="24" t="inlineStr">
        <is>
          <t>Química Aplicada</t>
        </is>
      </c>
      <c r="C21" s="24" t="inlineStr">
        <is>
          <t>DIURNA</t>
        </is>
      </c>
      <c r="D21" s="24" t="inlineStr">
        <is>
          <t>GEN-317</t>
        </is>
      </c>
      <c r="E21" s="48" t="n">
        <v>29</v>
      </c>
      <c r="F21" s="44" t="n">
        <v>17</v>
      </c>
      <c r="G21" s="44" t="n">
        <v>12</v>
      </c>
      <c r="H21" s="44" t="n">
        <v>0</v>
      </c>
      <c r="I21" s="45" t="n">
        <v>0.4138</v>
      </c>
      <c r="J21" s="53" t="n">
        <v>70.90000000000001</v>
      </c>
      <c r="K21" s="24" t="inlineStr">
        <is>
          <t>Medio</t>
        </is>
      </c>
      <c r="L21" s="48" t="n">
        <v>17</v>
      </c>
      <c r="M21" s="45" t="n">
        <v>0.3784</v>
      </c>
      <c r="N21" s="45" t="n">
        <v>0.2349</v>
      </c>
      <c r="O21" s="45" t="n">
        <v>0.5337</v>
      </c>
      <c r="P21" s="24" t="inlineStr">
        <is>
          <t>P3</t>
        </is>
      </c>
      <c r="Q21" s="24" t="inlineStr">
        <is>
          <t>Tasa de pérdida</t>
        </is>
      </c>
    </row>
    <row r="22">
      <c r="A22" s="50" t="inlineStr">
        <is>
          <t>3237684</t>
        </is>
      </c>
      <c r="B22" s="41" t="inlineStr">
        <is>
          <t>Química Aplicada</t>
        </is>
      </c>
      <c r="C22" s="41" t="inlineStr">
        <is>
          <t>DIURNA</t>
        </is>
      </c>
      <c r="D22" s="41" t="inlineStr">
        <is>
          <t>GEN-323</t>
        </is>
      </c>
      <c r="E22" s="50" t="n">
        <v>24</v>
      </c>
      <c r="F22" s="42" t="n">
        <v>14</v>
      </c>
      <c r="G22" s="42" t="n">
        <v>10</v>
      </c>
      <c r="H22" s="42" t="n">
        <v>0</v>
      </c>
      <c r="I22" s="43" t="n">
        <v>0.4167</v>
      </c>
      <c r="J22" s="54" t="n">
        <v>69.09999999999999</v>
      </c>
      <c r="K22" s="41" t="inlineStr">
        <is>
          <t>Medio</t>
        </is>
      </c>
      <c r="L22" s="50" t="n">
        <v>18</v>
      </c>
      <c r="M22" s="43" t="n">
        <v>0.3752</v>
      </c>
      <c r="N22" s="43" t="n">
        <v>0.2229</v>
      </c>
      <c r="O22" s="43" t="n">
        <v>0.5414</v>
      </c>
      <c r="P22" s="41" t="inlineStr">
        <is>
          <t>P3</t>
        </is>
      </c>
      <c r="Q22" s="41" t="inlineStr">
        <is>
          <t>Tasa de pérdida</t>
        </is>
      </c>
    </row>
    <row r="23">
      <c r="A23" s="48" t="inlineStr">
        <is>
          <t>3145900</t>
        </is>
      </c>
      <c r="B23" s="24" t="inlineStr">
        <is>
          <t>Gestión de Proyectos</t>
        </is>
      </c>
      <c r="C23" s="24" t="inlineStr">
        <is>
          <t>NOCTURNA</t>
        </is>
      </c>
      <c r="D23" s="24" t="inlineStr">
        <is>
          <t>GEN-314</t>
        </is>
      </c>
      <c r="E23" s="48" t="n">
        <v>30</v>
      </c>
      <c r="F23" s="44" t="n">
        <v>17</v>
      </c>
      <c r="G23" s="44" t="n">
        <v>12</v>
      </c>
      <c r="H23" s="44" t="n">
        <v>0</v>
      </c>
      <c r="I23" s="45" t="n">
        <v>0.4</v>
      </c>
      <c r="J23" s="53" t="n">
        <v>67.3</v>
      </c>
      <c r="K23" s="24" t="inlineStr">
        <is>
          <t>Medio</t>
        </is>
      </c>
      <c r="L23" s="48" t="n">
        <v>19</v>
      </c>
      <c r="M23" s="45" t="n">
        <v>0.3689</v>
      </c>
      <c r="N23" s="45" t="n">
        <v>0.2284</v>
      </c>
      <c r="O23" s="45" t="n">
        <v>0.5219</v>
      </c>
      <c r="P23" s="24" t="inlineStr">
        <is>
          <t>P3</t>
        </is>
      </c>
      <c r="Q23" s="24" t="inlineStr">
        <is>
          <t>Tasa de pérdida</t>
        </is>
      </c>
    </row>
    <row r="24">
      <c r="A24" s="50" t="inlineStr">
        <is>
          <t>3181490</t>
        </is>
      </c>
      <c r="B24" s="41" t="inlineStr">
        <is>
          <t>Modelado de Productos</t>
        </is>
      </c>
      <c r="C24" s="41" t="inlineStr">
        <is>
          <t>DIURNA</t>
        </is>
      </c>
      <c r="D24" s="41" t="inlineStr">
        <is>
          <t>GEN-318</t>
        </is>
      </c>
      <c r="E24" s="50" t="n">
        <v>19</v>
      </c>
      <c r="F24" s="42" t="n">
        <v>11</v>
      </c>
      <c r="G24" s="42" t="n">
        <v>7</v>
      </c>
      <c r="H24" s="42" t="n">
        <v>0</v>
      </c>
      <c r="I24" s="43" t="n">
        <v>0.3684</v>
      </c>
      <c r="J24" s="54" t="n">
        <v>64.5</v>
      </c>
      <c r="K24" s="41" t="inlineStr">
        <is>
          <t>Medio</t>
        </is>
      </c>
      <c r="L24" s="50" t="n">
        <v>20</v>
      </c>
      <c r="M24" s="43" t="n">
        <v>0.3365</v>
      </c>
      <c r="N24" s="43" t="n">
        <v>0.1796</v>
      </c>
      <c r="O24" s="43" t="n">
        <v>0.5147</v>
      </c>
      <c r="P24" s="41" t="inlineStr">
        <is>
          <t>P3</t>
        </is>
      </c>
      <c r="Q24" s="41" t="inlineStr">
        <is>
          <t>Tasa de pérdida</t>
        </is>
      </c>
    </row>
    <row r="25">
      <c r="A25" s="48" t="inlineStr">
        <is>
          <t>3406050</t>
        </is>
      </c>
      <c r="B25" s="24" t="inlineStr">
        <is>
          <t>Productos Plásticos</t>
        </is>
      </c>
      <c r="C25" s="24" t="inlineStr">
        <is>
          <t>NOCTURNA</t>
        </is>
      </c>
      <c r="D25" s="24" t="inlineStr">
        <is>
          <t>GEN-340</t>
        </is>
      </c>
      <c r="E25" s="48" t="n">
        <v>19</v>
      </c>
      <c r="F25" s="44" t="n">
        <v>12</v>
      </c>
      <c r="G25" s="44" t="n">
        <v>7</v>
      </c>
      <c r="H25" s="44" t="n">
        <v>0</v>
      </c>
      <c r="I25" s="45" t="n">
        <v>0.3684</v>
      </c>
      <c r="J25" s="53" t="n">
        <v>64.5</v>
      </c>
      <c r="K25" s="24" t="inlineStr">
        <is>
          <t>Medio</t>
        </is>
      </c>
      <c r="L25" s="48" t="n">
        <v>21</v>
      </c>
      <c r="M25" s="45" t="n">
        <v>0.3365</v>
      </c>
      <c r="N25" s="45" t="n">
        <v>0.1796</v>
      </c>
      <c r="O25" s="45" t="n">
        <v>0.5147</v>
      </c>
      <c r="P25" s="24" t="inlineStr">
        <is>
          <t>P3</t>
        </is>
      </c>
      <c r="Q25" s="24" t="inlineStr">
        <is>
          <t>Tasa de pérdida</t>
        </is>
      </c>
    </row>
    <row r="26">
      <c r="A26" s="50" t="inlineStr">
        <is>
          <t>3442110</t>
        </is>
      </c>
      <c r="B26" s="41" t="inlineStr">
        <is>
          <t>Modelado 3D</t>
        </is>
      </c>
      <c r="C26" s="41" t="inlineStr">
        <is>
          <t>DIURNA</t>
        </is>
      </c>
      <c r="D26" s="41" t="inlineStr">
        <is>
          <t>GEN-344</t>
        </is>
      </c>
      <c r="E26" s="50" t="n">
        <v>26</v>
      </c>
      <c r="F26" s="42" t="n">
        <v>17</v>
      </c>
      <c r="G26" s="42" t="n">
        <v>9</v>
      </c>
      <c r="H26" s="42" t="n">
        <v>0</v>
      </c>
      <c r="I26" s="43" t="n">
        <v>0.3462</v>
      </c>
      <c r="J26" s="54" t="n">
        <v>61.8</v>
      </c>
      <c r="K26" s="41" t="inlineStr">
        <is>
          <t>Medio</t>
        </is>
      </c>
      <c r="L26" s="50" t="n">
        <v>22</v>
      </c>
      <c r="M26" s="43" t="n">
        <v>0.3266</v>
      </c>
      <c r="N26" s="43" t="n">
        <v>0.1857</v>
      </c>
      <c r="O26" s="43" t="n">
        <v>0.4857</v>
      </c>
      <c r="P26" s="41" t="inlineStr">
        <is>
          <t>P3</t>
        </is>
      </c>
      <c r="Q26" s="41" t="inlineStr">
        <is>
          <t>Tasa de pérdida</t>
        </is>
      </c>
    </row>
    <row r="27">
      <c r="A27" s="48" t="inlineStr">
        <is>
          <t>3406496</t>
        </is>
      </c>
      <c r="B27" s="24" t="inlineStr">
        <is>
          <t>Sistemas Integrados de Gestión</t>
        </is>
      </c>
      <c r="C27" s="24" t="inlineStr">
        <is>
          <t>DIURNA</t>
        </is>
      </c>
      <c r="D27" s="24" t="inlineStr">
        <is>
          <t>GEN-340</t>
        </is>
      </c>
      <c r="E27" s="48" t="n">
        <v>21</v>
      </c>
      <c r="F27" s="44" t="n">
        <v>14</v>
      </c>
      <c r="G27" s="44" t="n">
        <v>7</v>
      </c>
      <c r="H27" s="44" t="n">
        <v>0</v>
      </c>
      <c r="I27" s="45" t="n">
        <v>0.3333</v>
      </c>
      <c r="J27" s="53" t="n">
        <v>60</v>
      </c>
      <c r="K27" s="24" t="inlineStr">
        <is>
          <t>Medio</t>
        </is>
      </c>
      <c r="L27" s="48" t="n">
        <v>23</v>
      </c>
      <c r="M27" s="45" t="n">
        <v>0.3148</v>
      </c>
      <c r="N27" s="45" t="n">
        <v>0.1666</v>
      </c>
      <c r="O27" s="45" t="n">
        <v>0.4855</v>
      </c>
      <c r="P27" s="24" t="inlineStr">
        <is>
          <t>P3</t>
        </is>
      </c>
      <c r="Q27" s="24" t="inlineStr">
        <is>
          <t>Tasa de pérdida</t>
        </is>
      </c>
    </row>
    <row r="28">
      <c r="A28" s="50" t="inlineStr">
        <is>
          <t>3411432</t>
        </is>
      </c>
      <c r="B28" s="41" t="inlineStr">
        <is>
          <t>Monitoreo Ambiental</t>
        </is>
      </c>
      <c r="C28" s="41" t="inlineStr">
        <is>
          <t>DIURNA</t>
        </is>
      </c>
      <c r="D28" s="41" t="inlineStr">
        <is>
          <t>GEN-341</t>
        </is>
      </c>
      <c r="E28" s="50" t="n">
        <v>50</v>
      </c>
      <c r="F28" s="42" t="n">
        <v>34</v>
      </c>
      <c r="G28" s="42" t="n">
        <v>16</v>
      </c>
      <c r="H28" s="42" t="n">
        <v>0</v>
      </c>
      <c r="I28" s="43" t="n">
        <v>0.32</v>
      </c>
      <c r="J28" s="54" t="n">
        <v>58.2</v>
      </c>
      <c r="K28" s="41" t="inlineStr">
        <is>
          <t>Medio</t>
        </is>
      </c>
      <c r="L28" s="50" t="n">
        <v>24</v>
      </c>
      <c r="M28" s="43" t="n">
        <v>0.3126</v>
      </c>
      <c r="N28" s="43" t="n">
        <v>0.2027</v>
      </c>
      <c r="O28" s="43" t="n">
        <v>0.4343</v>
      </c>
      <c r="P28" s="41" t="inlineStr">
        <is>
          <t>P3</t>
        </is>
      </c>
      <c r="Q28" s="41" t="inlineStr">
        <is>
          <t>Tasa de pérdida</t>
        </is>
      </c>
    </row>
    <row r="29">
      <c r="A29" s="48" t="inlineStr">
        <is>
          <t>3179885</t>
        </is>
      </c>
      <c r="B29" s="24" t="inlineStr">
        <is>
          <t>Sistemas Integrados de Gestión</t>
        </is>
      </c>
      <c r="C29" s="24" t="inlineStr">
        <is>
          <t>DIURNA</t>
        </is>
      </c>
      <c r="D29" s="24" t="inlineStr">
        <is>
          <t>GEN-317</t>
        </is>
      </c>
      <c r="E29" s="48" t="n">
        <v>33</v>
      </c>
      <c r="F29" s="44" t="n">
        <v>23</v>
      </c>
      <c r="G29" s="44" t="n">
        <v>10</v>
      </c>
      <c r="H29" s="44" t="n">
        <v>0</v>
      </c>
      <c r="I29" s="45" t="n">
        <v>0.303</v>
      </c>
      <c r="J29" s="53" t="n">
        <v>55.5</v>
      </c>
      <c r="K29" s="24" t="inlineStr">
        <is>
          <t>Medio</t>
        </is>
      </c>
      <c r="L29" s="48" t="n">
        <v>25</v>
      </c>
      <c r="M29" s="45" t="n">
        <v>0.2967</v>
      </c>
      <c r="N29" s="45" t="n">
        <v>0.1716</v>
      </c>
      <c r="O29" s="45" t="n">
        <v>0.4397</v>
      </c>
      <c r="P29" s="24" t="inlineStr">
        <is>
          <t>P3</t>
        </is>
      </c>
      <c r="Q29" s="24" t="inlineStr">
        <is>
          <t>Tasa de pérdida</t>
        </is>
      </c>
    </row>
    <row r="30">
      <c r="A30" s="50" t="inlineStr">
        <is>
          <t>3442189</t>
        </is>
      </c>
      <c r="B30" s="41" t="inlineStr">
        <is>
          <t>Producción Industrial</t>
        </is>
      </c>
      <c r="C30" s="41" t="inlineStr">
        <is>
          <t>DIURNA</t>
        </is>
      </c>
      <c r="D30" s="41" t="inlineStr">
        <is>
          <t>GEN-344</t>
        </is>
      </c>
      <c r="E30" s="50" t="n">
        <v>33</v>
      </c>
      <c r="F30" s="42" t="n">
        <v>23</v>
      </c>
      <c r="G30" s="42" t="n">
        <v>10</v>
      </c>
      <c r="H30" s="42" t="n">
        <v>0</v>
      </c>
      <c r="I30" s="43" t="n">
        <v>0.303</v>
      </c>
      <c r="J30" s="54" t="n">
        <v>55.5</v>
      </c>
      <c r="K30" s="41" t="inlineStr">
        <is>
          <t>Medio</t>
        </is>
      </c>
      <c r="L30" s="50" t="n">
        <v>26</v>
      </c>
      <c r="M30" s="43" t="n">
        <v>0.2967</v>
      </c>
      <c r="N30" s="43" t="n">
        <v>0.1716</v>
      </c>
      <c r="O30" s="43" t="n">
        <v>0.4397</v>
      </c>
      <c r="P30" s="41" t="inlineStr">
        <is>
          <t>P3</t>
        </is>
      </c>
      <c r="Q30" s="41" t="inlineStr">
        <is>
          <t>Tasa de pérdida</t>
        </is>
      </c>
    </row>
    <row r="31">
      <c r="A31" s="48" t="inlineStr">
        <is>
          <t>3171560</t>
        </is>
      </c>
      <c r="B31" s="24" t="inlineStr">
        <is>
          <t>Gestión de Proyectos</t>
        </is>
      </c>
      <c r="C31" s="24" t="inlineStr">
        <is>
          <t>DIURNA</t>
        </is>
      </c>
      <c r="D31" s="24" t="inlineStr">
        <is>
          <t>GEN-317</t>
        </is>
      </c>
      <c r="E31" s="48" t="n">
        <v>26</v>
      </c>
      <c r="F31" s="44" t="n">
        <v>19</v>
      </c>
      <c r="G31" s="44" t="n">
        <v>6</v>
      </c>
      <c r="H31" s="44" t="n">
        <v>1</v>
      </c>
      <c r="I31" s="45" t="n">
        <v>0.2692</v>
      </c>
      <c r="J31" s="53" t="n">
        <v>51.8</v>
      </c>
      <c r="K31" s="24" t="inlineStr">
        <is>
          <t>Medio</t>
        </is>
      </c>
      <c r="L31" s="48" t="n">
        <v>27</v>
      </c>
      <c r="M31" s="45" t="n">
        <v>0.271</v>
      </c>
      <c r="N31" s="45" t="n">
        <v>0.1411</v>
      </c>
      <c r="O31" s="45" t="n">
        <v>0.4251</v>
      </c>
      <c r="P31" s="24" t="inlineStr">
        <is>
          <t>P3</t>
        </is>
      </c>
      <c r="Q31" s="24" t="inlineStr">
        <is>
          <t>Tasa de pérdida</t>
        </is>
      </c>
    </row>
    <row r="32">
      <c r="A32" s="50" t="inlineStr">
        <is>
          <t>3411424</t>
        </is>
      </c>
      <c r="B32" s="41" t="inlineStr">
        <is>
          <t>Modelado 3D</t>
        </is>
      </c>
      <c r="C32" s="41" t="inlineStr">
        <is>
          <t>DIURNA</t>
        </is>
      </c>
      <c r="D32" s="41" t="inlineStr">
        <is>
          <t>GEN-341</t>
        </is>
      </c>
      <c r="E32" s="50" t="n">
        <v>26</v>
      </c>
      <c r="F32" s="42" t="n">
        <v>19</v>
      </c>
      <c r="G32" s="42" t="n">
        <v>7</v>
      </c>
      <c r="H32" s="42" t="n">
        <v>0</v>
      </c>
      <c r="I32" s="43" t="n">
        <v>0.2692</v>
      </c>
      <c r="J32" s="54" t="n">
        <v>51.8</v>
      </c>
      <c r="K32" s="41" t="inlineStr">
        <is>
          <t>Medio</t>
        </is>
      </c>
      <c r="L32" s="50" t="n">
        <v>28</v>
      </c>
      <c r="M32" s="43" t="n">
        <v>0.271</v>
      </c>
      <c r="N32" s="43" t="n">
        <v>0.1411</v>
      </c>
      <c r="O32" s="43" t="n">
        <v>0.4251</v>
      </c>
      <c r="P32" s="41" t="inlineStr">
        <is>
          <t>P3</t>
        </is>
      </c>
      <c r="Q32" s="41" t="inlineStr">
        <is>
          <t>Tasa de pérdida</t>
        </is>
      </c>
    </row>
    <row r="33">
      <c r="A33" s="48" t="inlineStr">
        <is>
          <t>3411434</t>
        </is>
      </c>
      <c r="B33" s="24" t="inlineStr">
        <is>
          <t>Componentes Mecánicos</t>
        </is>
      </c>
      <c r="C33" s="24" t="inlineStr">
        <is>
          <t>NOCTURNA</t>
        </is>
      </c>
      <c r="D33" s="24" t="inlineStr">
        <is>
          <t>GEN-341</t>
        </is>
      </c>
      <c r="E33" s="48" t="n">
        <v>30</v>
      </c>
      <c r="F33" s="44" t="n">
        <v>22</v>
      </c>
      <c r="G33" s="44" t="n">
        <v>8</v>
      </c>
      <c r="H33" s="44" t="n">
        <v>0</v>
      </c>
      <c r="I33" s="45" t="n">
        <v>0.2667</v>
      </c>
      <c r="J33" s="53" t="n">
        <v>48.2</v>
      </c>
      <c r="K33" s="24" t="inlineStr">
        <is>
          <t>Bajo</t>
        </is>
      </c>
      <c r="L33" s="48" t="n">
        <v>29</v>
      </c>
      <c r="M33" s="45" t="n">
        <v>0.2689</v>
      </c>
      <c r="N33" s="45" t="n">
        <v>0.1452</v>
      </c>
      <c r="O33" s="45" t="n">
        <v>0.4145</v>
      </c>
      <c r="P33" s="24" t="inlineStr">
        <is>
          <t>P4</t>
        </is>
      </c>
      <c r="Q33" s="24" t="inlineStr">
        <is>
          <t>Tasa de pérdida</t>
        </is>
      </c>
    </row>
    <row r="34">
      <c r="A34" s="50" t="inlineStr">
        <is>
          <t>3411446</t>
        </is>
      </c>
      <c r="B34" s="41" t="inlineStr">
        <is>
          <t>Sistemas Integrados de Gestión</t>
        </is>
      </c>
      <c r="C34" s="41" t="inlineStr">
        <is>
          <t>NOCTURNA</t>
        </is>
      </c>
      <c r="D34" s="41" t="inlineStr">
        <is>
          <t>GEN-341</t>
        </is>
      </c>
      <c r="E34" s="50" t="n">
        <v>30</v>
      </c>
      <c r="F34" s="42" t="n">
        <v>22</v>
      </c>
      <c r="G34" s="42" t="n">
        <v>7</v>
      </c>
      <c r="H34" s="42" t="n">
        <v>1</v>
      </c>
      <c r="I34" s="43" t="n">
        <v>0.2667</v>
      </c>
      <c r="J34" s="54" t="n">
        <v>48.2</v>
      </c>
      <c r="K34" s="41" t="inlineStr">
        <is>
          <t>Bajo</t>
        </is>
      </c>
      <c r="L34" s="50" t="n">
        <v>30</v>
      </c>
      <c r="M34" s="43" t="n">
        <v>0.2689</v>
      </c>
      <c r="N34" s="43" t="n">
        <v>0.1452</v>
      </c>
      <c r="O34" s="43" t="n">
        <v>0.4145</v>
      </c>
      <c r="P34" s="41" t="inlineStr">
        <is>
          <t>P4</t>
        </is>
      </c>
      <c r="Q34" s="41" t="inlineStr">
        <is>
          <t>Tasa de pérdida</t>
        </is>
      </c>
    </row>
    <row r="35">
      <c r="A35" s="48" t="inlineStr">
        <is>
          <t>3442186</t>
        </is>
      </c>
      <c r="B35" s="24" t="inlineStr">
        <is>
          <t>Sistemas Integrados de Gestión</t>
        </is>
      </c>
      <c r="C35" s="24" t="inlineStr">
        <is>
          <t>NOCTURNA</t>
        </is>
      </c>
      <c r="D35" s="24" t="inlineStr">
        <is>
          <t>GEN-344</t>
        </is>
      </c>
      <c r="E35" s="48" t="n">
        <v>35</v>
      </c>
      <c r="F35" s="44" t="n">
        <v>25</v>
      </c>
      <c r="G35" s="44" t="n">
        <v>8</v>
      </c>
      <c r="H35" s="44" t="n">
        <v>1</v>
      </c>
      <c r="I35" s="45" t="n">
        <v>0.2571</v>
      </c>
      <c r="J35" s="53" t="n">
        <v>45.5</v>
      </c>
      <c r="K35" s="24" t="inlineStr">
        <is>
          <t>Bajo</t>
        </is>
      </c>
      <c r="L35" s="48" t="n">
        <v>31</v>
      </c>
      <c r="M35" s="45" t="n">
        <v>0.2613</v>
      </c>
      <c r="N35" s="45" t="n">
        <v>0.1453</v>
      </c>
      <c r="O35" s="45" t="n">
        <v>0.3974</v>
      </c>
      <c r="P35" s="24" t="inlineStr">
        <is>
          <t>P4</t>
        </is>
      </c>
      <c r="Q35" s="24" t="inlineStr">
        <is>
          <t>Tasa de pérdida</t>
        </is>
      </c>
    </row>
    <row r="36">
      <c r="A36" s="50" t="inlineStr">
        <is>
          <t>3406053</t>
        </is>
      </c>
      <c r="B36" s="41" t="inlineStr">
        <is>
          <t>Análisis de Materiales</t>
        </is>
      </c>
      <c r="C36" s="41" t="inlineStr">
        <is>
          <t>DIURNA</t>
        </is>
      </c>
      <c r="D36" s="41" t="inlineStr">
        <is>
          <t>GEN-340</t>
        </is>
      </c>
      <c r="E36" s="50" t="n">
        <v>20</v>
      </c>
      <c r="F36" s="42" t="n">
        <v>15</v>
      </c>
      <c r="G36" s="42" t="n">
        <v>5</v>
      </c>
      <c r="H36" s="42" t="n">
        <v>0</v>
      </c>
      <c r="I36" s="43" t="n">
        <v>0.25</v>
      </c>
      <c r="J36" s="54" t="n">
        <v>43.6</v>
      </c>
      <c r="K36" s="41" t="inlineStr">
        <is>
          <t>Bajo</t>
        </is>
      </c>
      <c r="L36" s="50" t="n">
        <v>32</v>
      </c>
      <c r="M36" s="43" t="n">
        <v>0.2586</v>
      </c>
      <c r="N36" s="43" t="n">
        <v>0.1213</v>
      </c>
      <c r="O36" s="43" t="n">
        <v>0.4263</v>
      </c>
      <c r="P36" s="41" t="inlineStr">
        <is>
          <t>P4</t>
        </is>
      </c>
      <c r="Q36" s="41" t="inlineStr">
        <is>
          <t>Tasa de pérdida</t>
        </is>
      </c>
    </row>
    <row r="37">
      <c r="A37" s="48" t="inlineStr">
        <is>
          <t>3412291</t>
        </is>
      </c>
      <c r="B37" s="24" t="inlineStr">
        <is>
          <t>Gestión de Proyectos</t>
        </is>
      </c>
      <c r="C37" s="24" t="inlineStr">
        <is>
          <t>DIURNA</t>
        </is>
      </c>
      <c r="D37" s="24" t="inlineStr">
        <is>
          <t>GEN-341</t>
        </is>
      </c>
      <c r="E37" s="48" t="n">
        <v>25</v>
      </c>
      <c r="F37" s="44" t="n">
        <v>19</v>
      </c>
      <c r="G37" s="44" t="n">
        <v>4</v>
      </c>
      <c r="H37" s="44" t="n">
        <v>2</v>
      </c>
      <c r="I37" s="45" t="n">
        <v>0.24</v>
      </c>
      <c r="J37" s="53" t="n">
        <v>41.8</v>
      </c>
      <c r="K37" s="24" t="inlineStr">
        <is>
          <t>Bajo</t>
        </is>
      </c>
      <c r="L37" s="48" t="n">
        <v>33</v>
      </c>
      <c r="M37" s="45" t="n">
        <v>0.2502</v>
      </c>
      <c r="N37" s="45" t="n">
        <v>0.1236</v>
      </c>
      <c r="O37" s="45" t="n">
        <v>0.4039</v>
      </c>
      <c r="P37" s="24" t="inlineStr">
        <is>
          <t>P4</t>
        </is>
      </c>
      <c r="Q37" s="24" t="inlineStr">
        <is>
          <t>Tasa de pérdida</t>
        </is>
      </c>
    </row>
    <row r="38">
      <c r="A38" s="50" t="inlineStr">
        <is>
          <t>3412095</t>
        </is>
      </c>
      <c r="B38" s="41" t="inlineStr">
        <is>
          <t>Producción Industrial</t>
        </is>
      </c>
      <c r="C38" s="41" t="inlineStr">
        <is>
          <t>NOCTURNA</t>
        </is>
      </c>
      <c r="D38" s="41" t="inlineStr">
        <is>
          <t>GEN-341</t>
        </is>
      </c>
      <c r="E38" s="50" t="n">
        <v>30</v>
      </c>
      <c r="F38" s="42" t="n">
        <v>23</v>
      </c>
      <c r="G38" s="42" t="n">
        <v>7</v>
      </c>
      <c r="H38" s="42" t="n">
        <v>0</v>
      </c>
      <c r="I38" s="43" t="n">
        <v>0.2333</v>
      </c>
      <c r="J38" s="54" t="n">
        <v>40</v>
      </c>
      <c r="K38" s="41" t="inlineStr">
        <is>
          <t>Bajo</t>
        </is>
      </c>
      <c r="L38" s="50" t="n">
        <v>34</v>
      </c>
      <c r="M38" s="43" t="n">
        <v>0.2439</v>
      </c>
      <c r="N38" s="43" t="n">
        <v>0.1257</v>
      </c>
      <c r="O38" s="43" t="n">
        <v>0.3864</v>
      </c>
      <c r="P38" s="41" t="inlineStr">
        <is>
          <t>P4</t>
        </is>
      </c>
      <c r="Q38" s="41" t="inlineStr">
        <is>
          <t>Tasa de pérdida</t>
        </is>
      </c>
    </row>
    <row r="39">
      <c r="A39" s="48" t="inlineStr">
        <is>
          <t>3316128</t>
        </is>
      </c>
      <c r="B39" s="24" t="inlineStr">
        <is>
          <t>Sistemas Integrados de Gestión</t>
        </is>
      </c>
      <c r="C39" s="24" t="inlineStr">
        <is>
          <t>DIURNA</t>
        </is>
      </c>
      <c r="D39" s="24" t="inlineStr">
        <is>
          <t>GEN-331</t>
        </is>
      </c>
      <c r="E39" s="48" t="n">
        <v>26</v>
      </c>
      <c r="F39" s="44" t="n">
        <v>20</v>
      </c>
      <c r="G39" s="44" t="n">
        <v>6</v>
      </c>
      <c r="H39" s="44" t="n">
        <v>0</v>
      </c>
      <c r="I39" s="45" t="n">
        <v>0.2308</v>
      </c>
      <c r="J39" s="53" t="n">
        <v>37.3</v>
      </c>
      <c r="K39" s="24" t="inlineStr">
        <is>
          <t>Bajo</t>
        </is>
      </c>
      <c r="L39" s="48" t="n">
        <v>35</v>
      </c>
      <c r="M39" s="45" t="n">
        <v>0.2433</v>
      </c>
      <c r="N39" s="45" t="n">
        <v>0.1198</v>
      </c>
      <c r="O39" s="45" t="n">
        <v>0.3937</v>
      </c>
      <c r="P39" s="24" t="inlineStr">
        <is>
          <t>P4</t>
        </is>
      </c>
      <c r="Q39" s="24" t="inlineStr">
        <is>
          <t>Tasa de pérdida</t>
        </is>
      </c>
    </row>
    <row r="40">
      <c r="A40" s="50" t="inlineStr">
        <is>
          <t>3406054</t>
        </is>
      </c>
      <c r="B40" s="41" t="inlineStr">
        <is>
          <t>Moldes y Troqueles</t>
        </is>
      </c>
      <c r="C40" s="41" t="inlineStr">
        <is>
          <t>DIURNA</t>
        </is>
      </c>
      <c r="D40" s="41" t="inlineStr">
        <is>
          <t>GEN-340</t>
        </is>
      </c>
      <c r="E40" s="50" t="n">
        <v>26</v>
      </c>
      <c r="F40" s="42" t="n">
        <v>20</v>
      </c>
      <c r="G40" s="42" t="n">
        <v>6</v>
      </c>
      <c r="H40" s="42" t="n">
        <v>0</v>
      </c>
      <c r="I40" s="43" t="n">
        <v>0.2308</v>
      </c>
      <c r="J40" s="54" t="n">
        <v>37.3</v>
      </c>
      <c r="K40" s="41" t="inlineStr">
        <is>
          <t>Bajo</t>
        </is>
      </c>
      <c r="L40" s="50" t="n">
        <v>36</v>
      </c>
      <c r="M40" s="43" t="n">
        <v>0.2433</v>
      </c>
      <c r="N40" s="43" t="n">
        <v>0.1198</v>
      </c>
      <c r="O40" s="43" t="n">
        <v>0.3937</v>
      </c>
      <c r="P40" s="41" t="inlineStr">
        <is>
          <t>P4</t>
        </is>
      </c>
      <c r="Q40" s="41" t="inlineStr">
        <is>
          <t>Tasa de pérdida</t>
        </is>
      </c>
    </row>
    <row r="41">
      <c r="A41" s="48" t="inlineStr">
        <is>
          <t>3442083</t>
        </is>
      </c>
      <c r="B41" s="24" t="inlineStr">
        <is>
          <t>Sistemas Integrados de Gestión</t>
        </is>
      </c>
      <c r="C41" s="24" t="inlineStr">
        <is>
          <t>DIURNA</t>
        </is>
      </c>
      <c r="D41" s="24" t="inlineStr">
        <is>
          <t>GEN-344</t>
        </is>
      </c>
      <c r="E41" s="48" t="n">
        <v>32</v>
      </c>
      <c r="F41" s="44" t="n">
        <v>24</v>
      </c>
      <c r="G41" s="44" t="n">
        <v>7</v>
      </c>
      <c r="H41" s="44" t="n">
        <v>0</v>
      </c>
      <c r="I41" s="45" t="n">
        <v>0.2188</v>
      </c>
      <c r="J41" s="53" t="n">
        <v>34.5</v>
      </c>
      <c r="K41" s="24" t="inlineStr">
        <is>
          <t>Bajo</t>
        </is>
      </c>
      <c r="L41" s="48" t="n">
        <v>37</v>
      </c>
      <c r="M41" s="45" t="n">
        <v>0.2323</v>
      </c>
      <c r="N41" s="45" t="n">
        <v>0.1192</v>
      </c>
      <c r="O41" s="45" t="n">
        <v>0.3695</v>
      </c>
      <c r="P41" s="24" t="inlineStr">
        <is>
          <t>P4</t>
        </is>
      </c>
      <c r="Q41" s="24" t="inlineStr">
        <is>
          <t>Tasa de pérdida</t>
        </is>
      </c>
    </row>
    <row r="42">
      <c r="A42" s="50" t="inlineStr">
        <is>
          <t>3442119</t>
        </is>
      </c>
      <c r="B42" s="41" t="inlineStr">
        <is>
          <t>Modelado de Productos</t>
        </is>
      </c>
      <c r="C42" s="41" t="inlineStr">
        <is>
          <t>DIURNA</t>
        </is>
      </c>
      <c r="D42" s="41" t="inlineStr">
        <is>
          <t>GEN-344</t>
        </is>
      </c>
      <c r="E42" s="50" t="n">
        <v>29</v>
      </c>
      <c r="F42" s="42" t="n">
        <v>23</v>
      </c>
      <c r="G42" s="42" t="n">
        <v>6</v>
      </c>
      <c r="H42" s="42" t="n">
        <v>0</v>
      </c>
      <c r="I42" s="43" t="n">
        <v>0.2069</v>
      </c>
      <c r="J42" s="54" t="n">
        <v>32.7</v>
      </c>
      <c r="K42" s="41" t="inlineStr">
        <is>
          <t>Bajo</t>
        </is>
      </c>
      <c r="L42" s="50" t="n">
        <v>38</v>
      </c>
      <c r="M42" s="43" t="n">
        <v>0.2246</v>
      </c>
      <c r="N42" s="43" t="n">
        <v>0.1098</v>
      </c>
      <c r="O42" s="43" t="n">
        <v>0.366</v>
      </c>
      <c r="P42" s="41" t="inlineStr">
        <is>
          <t>P4</t>
        </is>
      </c>
      <c r="Q42" s="41" t="inlineStr">
        <is>
          <t>Tasa de pérdida</t>
        </is>
      </c>
    </row>
    <row r="43">
      <c r="A43" s="48" t="inlineStr">
        <is>
          <t>3411438</t>
        </is>
      </c>
      <c r="B43" s="24" t="inlineStr">
        <is>
          <t>Sistemas Integrados de Gestión</t>
        </is>
      </c>
      <c r="C43" s="24" t="inlineStr">
        <is>
          <t>DIURNA</t>
        </is>
      </c>
      <c r="D43" s="24" t="inlineStr">
        <is>
          <t>GEN-341</t>
        </is>
      </c>
      <c r="E43" s="48" t="n">
        <v>30</v>
      </c>
      <c r="F43" s="44" t="n">
        <v>24</v>
      </c>
      <c r="G43" s="44" t="n">
        <v>6</v>
      </c>
      <c r="H43" s="44" t="n">
        <v>0</v>
      </c>
      <c r="I43" s="45" t="n">
        <v>0.2</v>
      </c>
      <c r="J43" s="53" t="n">
        <v>30.9</v>
      </c>
      <c r="K43" s="24" t="inlineStr">
        <is>
          <t>Bajo</t>
        </is>
      </c>
      <c r="L43" s="48" t="n">
        <v>39</v>
      </c>
      <c r="M43" s="45" t="n">
        <v>0.2189</v>
      </c>
      <c r="N43" s="45" t="n">
        <v>0.1068</v>
      </c>
      <c r="O43" s="45" t="n">
        <v>0.3576</v>
      </c>
      <c r="P43" s="24" t="inlineStr">
        <is>
          <t>P4</t>
        </is>
      </c>
      <c r="Q43" s="24" t="inlineStr">
        <is>
          <t>Tasa de pérdida</t>
        </is>
      </c>
    </row>
    <row r="44">
      <c r="A44" s="50" t="inlineStr">
        <is>
          <t>3302824</t>
        </is>
      </c>
      <c r="B44" s="41" t="inlineStr">
        <is>
          <t>Producción Industrial</t>
        </is>
      </c>
      <c r="C44" s="41" t="inlineStr">
        <is>
          <t>NOCTURNA</t>
        </is>
      </c>
      <c r="D44" s="41" t="inlineStr">
        <is>
          <t>GEN-330</t>
        </is>
      </c>
      <c r="E44" s="50" t="n">
        <v>31</v>
      </c>
      <c r="F44" s="42" t="n">
        <v>25</v>
      </c>
      <c r="G44" s="42" t="n">
        <v>6</v>
      </c>
      <c r="H44" s="42" t="n">
        <v>0</v>
      </c>
      <c r="I44" s="43" t="n">
        <v>0.1935</v>
      </c>
      <c r="J44" s="54" t="n">
        <v>29.1</v>
      </c>
      <c r="K44" s="41" t="inlineStr">
        <is>
          <t>Bajo</t>
        </is>
      </c>
      <c r="L44" s="50" t="n">
        <v>40</v>
      </c>
      <c r="M44" s="43" t="n">
        <v>0.2136</v>
      </c>
      <c r="N44" s="43" t="n">
        <v>0.104</v>
      </c>
      <c r="O44" s="43" t="n">
        <v>0.3496</v>
      </c>
      <c r="P44" s="41" t="inlineStr">
        <is>
          <t>P4</t>
        </is>
      </c>
      <c r="Q44" s="41" t="inlineStr">
        <is>
          <t>Tasa de pérdida</t>
        </is>
      </c>
    </row>
    <row r="45">
      <c r="A45" s="48" t="inlineStr">
        <is>
          <t>3411435</t>
        </is>
      </c>
      <c r="B45" s="24" t="inlineStr">
        <is>
          <t>Producción Industrial</t>
        </is>
      </c>
      <c r="C45" s="24" t="inlineStr">
        <is>
          <t>DIURNA</t>
        </is>
      </c>
      <c r="D45" s="24" t="inlineStr">
        <is>
          <t>GEN-341</t>
        </is>
      </c>
      <c r="E45" s="48" t="n">
        <v>30</v>
      </c>
      <c r="F45" s="44" t="n">
        <v>27</v>
      </c>
      <c r="G45" s="44" t="n">
        <v>3</v>
      </c>
      <c r="H45" s="44" t="n">
        <v>0</v>
      </c>
      <c r="I45" s="45" t="n">
        <v>0.1</v>
      </c>
      <c r="J45" s="53" t="n">
        <v>27.3</v>
      </c>
      <c r="K45" s="24" t="inlineStr">
        <is>
          <t>Bajo</t>
        </is>
      </c>
      <c r="L45" s="48" t="n">
        <v>41</v>
      </c>
      <c r="M45" s="45" t="n">
        <v>0.1439</v>
      </c>
      <c r="N45" s="45" t="n">
        <v>0.0547</v>
      </c>
      <c r="O45" s="45" t="n">
        <v>0.2666</v>
      </c>
      <c r="P45" s="24" t="inlineStr">
        <is>
          <t>P4</t>
        </is>
      </c>
      <c r="Q45" s="24" t="inlineStr">
        <is>
          <t>Tasa de pérdida</t>
        </is>
      </c>
    </row>
    <row r="46">
      <c r="A46" s="50" t="inlineStr">
        <is>
          <t>3442098</t>
        </is>
      </c>
      <c r="B46" s="41" t="inlineStr">
        <is>
          <t>Sistemas Integrados de Gestión</t>
        </is>
      </c>
      <c r="C46" s="41" t="inlineStr">
        <is>
          <t>DIURNA</t>
        </is>
      </c>
      <c r="D46" s="41" t="inlineStr">
        <is>
          <t>GEN-344</t>
        </is>
      </c>
      <c r="E46" s="50" t="n">
        <v>36</v>
      </c>
      <c r="F46" s="42" t="n">
        <v>33</v>
      </c>
      <c r="G46" s="42" t="n">
        <v>3</v>
      </c>
      <c r="H46" s="42" t="n">
        <v>0</v>
      </c>
      <c r="I46" s="43" t="n">
        <v>0.0833</v>
      </c>
      <c r="J46" s="54" t="n">
        <v>25.5</v>
      </c>
      <c r="K46" s="41" t="inlineStr">
        <is>
          <t>Bajo</t>
        </is>
      </c>
      <c r="L46" s="50" t="n">
        <v>42</v>
      </c>
      <c r="M46" s="43" t="n">
        <v>0.1252</v>
      </c>
      <c r="N46" s="43" t="n">
        <v>0.0472</v>
      </c>
      <c r="O46" s="43" t="n">
        <v>0.2338</v>
      </c>
      <c r="P46" s="41" t="inlineStr">
        <is>
          <t>P4</t>
        </is>
      </c>
      <c r="Q46" s="41" t="inlineStr">
        <is>
          <t>Tasa de pérdida</t>
        </is>
      </c>
    </row>
    <row r="47">
      <c r="A47" s="48" t="inlineStr">
        <is>
          <t>3433071</t>
        </is>
      </c>
      <c r="B47" s="24" t="inlineStr">
        <is>
          <t>Gestión de Proyectos</t>
        </is>
      </c>
      <c r="C47" s="24" t="inlineStr">
        <is>
          <t>NOCTURNA</t>
        </is>
      </c>
      <c r="D47" s="24" t="inlineStr">
        <is>
          <t>GEN-343</t>
        </is>
      </c>
      <c r="E47" s="48" t="n">
        <v>21</v>
      </c>
      <c r="F47" s="44" t="n">
        <v>19</v>
      </c>
      <c r="G47" s="44" t="n">
        <v>1</v>
      </c>
      <c r="H47" s="44" t="n">
        <v>0</v>
      </c>
      <c r="I47" s="45" t="n">
        <v>0.0476</v>
      </c>
      <c r="J47" s="53" t="n">
        <v>23.6</v>
      </c>
      <c r="K47" s="24" t="inlineStr">
        <is>
          <t>Bajo</t>
        </is>
      </c>
      <c r="L47" s="48" t="n">
        <v>43</v>
      </c>
      <c r="M47" s="45" t="n">
        <v>0.1212</v>
      </c>
      <c r="N47" s="45" t="n">
        <v>0.0333</v>
      </c>
      <c r="O47" s="45" t="n">
        <v>0.2548</v>
      </c>
      <c r="P47" s="24" t="inlineStr">
        <is>
          <t>P4</t>
        </is>
      </c>
      <c r="Q47" s="24" t="inlineStr">
        <is>
          <t>Tasa de pérdida</t>
        </is>
      </c>
    </row>
    <row r="48">
      <c r="A48" s="50" t="inlineStr">
        <is>
          <t>3581049</t>
        </is>
      </c>
      <c r="B48" s="41" t="inlineStr">
        <is>
          <t>Alistamiento de Laboratorios</t>
        </is>
      </c>
      <c r="C48" s="41" t="inlineStr">
        <is>
          <t>DIURNA</t>
        </is>
      </c>
      <c r="D48" s="41" t="inlineStr">
        <is>
          <t>GEN-358</t>
        </is>
      </c>
      <c r="E48" s="50" t="n">
        <v>18</v>
      </c>
      <c r="F48" s="42" t="n">
        <v>18</v>
      </c>
      <c r="G48" s="42" t="n">
        <v>0</v>
      </c>
      <c r="H48" s="42" t="n">
        <v>0</v>
      </c>
      <c r="I48" s="43" t="n">
        <v>0</v>
      </c>
      <c r="J48" s="54" t="n">
        <v>21.8</v>
      </c>
      <c r="K48" s="41" t="inlineStr">
        <is>
          <t>Bajo</t>
        </is>
      </c>
      <c r="L48" s="50" t="n">
        <v>44</v>
      </c>
      <c r="M48" s="43" t="n">
        <v>0.0985</v>
      </c>
      <c r="N48" s="43" t="n">
        <v>0.0196</v>
      </c>
      <c r="O48" s="43" t="n">
        <v>0.2305</v>
      </c>
      <c r="P48" s="41" t="inlineStr">
        <is>
          <t>P4</t>
        </is>
      </c>
      <c r="Q48" s="41" t="inlineStr">
        <is>
          <t>Tasa de pérdida</t>
        </is>
      </c>
    </row>
    <row r="49">
      <c r="A49" s="48" t="inlineStr">
        <is>
          <t>3451155</t>
        </is>
      </c>
      <c r="B49" s="24" t="inlineStr">
        <is>
          <t>Gestión de Proyectos</t>
        </is>
      </c>
      <c r="C49" s="24" t="inlineStr">
        <is>
          <t>DIURNA</t>
        </is>
      </c>
      <c r="D49" s="24" t="inlineStr">
        <is>
          <t>GEN-345</t>
        </is>
      </c>
      <c r="E49" s="48" t="n">
        <v>23</v>
      </c>
      <c r="F49" s="44" t="n">
        <v>23</v>
      </c>
      <c r="G49" s="44" t="n">
        <v>0</v>
      </c>
      <c r="H49" s="44" t="n">
        <v>0</v>
      </c>
      <c r="I49" s="45" t="n">
        <v>0</v>
      </c>
      <c r="J49" s="53" t="n">
        <v>19.1</v>
      </c>
      <c r="K49" s="24" t="inlineStr">
        <is>
          <t>Bajo</t>
        </is>
      </c>
      <c r="L49" s="48" t="n">
        <v>45</v>
      </c>
      <c r="M49" s="45" t="n">
        <v>0.08359999999999999</v>
      </c>
      <c r="N49" s="45" t="n">
        <v>0.0165</v>
      </c>
      <c r="O49" s="45" t="n">
        <v>0.1974</v>
      </c>
      <c r="P49" s="24" t="inlineStr">
        <is>
          <t>P4</t>
        </is>
      </c>
      <c r="Q49" s="24" t="inlineStr">
        <is>
          <t>Tasa de pérdida</t>
        </is>
      </c>
    </row>
    <row r="50">
      <c r="A50" s="50" t="inlineStr">
        <is>
          <t>3566610</t>
        </is>
      </c>
      <c r="B50" s="41" t="inlineStr">
        <is>
          <t>Transformación de Polímeros</t>
        </is>
      </c>
      <c r="C50" s="41" t="inlineStr">
        <is>
          <t>DIURNA</t>
        </is>
      </c>
      <c r="D50" s="41" t="inlineStr">
        <is>
          <t>GEN-356</t>
        </is>
      </c>
      <c r="E50" s="50" t="n">
        <v>23</v>
      </c>
      <c r="F50" s="42" t="n">
        <v>23</v>
      </c>
      <c r="G50" s="42" t="n">
        <v>0</v>
      </c>
      <c r="H50" s="42" t="n">
        <v>0</v>
      </c>
      <c r="I50" s="43" t="n">
        <v>0</v>
      </c>
      <c r="J50" s="54" t="n">
        <v>19.1</v>
      </c>
      <c r="K50" s="41" t="inlineStr">
        <is>
          <t>Bajo</t>
        </is>
      </c>
      <c r="L50" s="50" t="n">
        <v>46</v>
      </c>
      <c r="M50" s="43" t="n">
        <v>0.08359999999999999</v>
      </c>
      <c r="N50" s="43" t="n">
        <v>0.0165</v>
      </c>
      <c r="O50" s="43" t="n">
        <v>0.1974</v>
      </c>
      <c r="P50" s="41" t="inlineStr">
        <is>
          <t>P4</t>
        </is>
      </c>
      <c r="Q50" s="41" t="inlineStr">
        <is>
          <t>Tasa de pérdida</t>
        </is>
      </c>
    </row>
    <row r="51">
      <c r="A51" s="48" t="inlineStr">
        <is>
          <t>3418377</t>
        </is>
      </c>
      <c r="B51" s="24" t="inlineStr">
        <is>
          <t>Gestión de Proyectos</t>
        </is>
      </c>
      <c r="C51" s="24" t="inlineStr">
        <is>
          <t>DIURNA</t>
        </is>
      </c>
      <c r="D51" s="24" t="inlineStr">
        <is>
          <t>GEN-341</t>
        </is>
      </c>
      <c r="E51" s="48" t="n">
        <v>24</v>
      </c>
      <c r="F51" s="44" t="n">
        <v>24</v>
      </c>
      <c r="G51" s="44" t="n">
        <v>0</v>
      </c>
      <c r="H51" s="44" t="n">
        <v>0</v>
      </c>
      <c r="I51" s="45" t="n">
        <v>0</v>
      </c>
      <c r="J51" s="53" t="n">
        <v>15.5</v>
      </c>
      <c r="K51" s="24" t="inlineStr">
        <is>
          <t>Bajo</t>
        </is>
      </c>
      <c r="L51" s="48" t="n">
        <v>47</v>
      </c>
      <c r="M51" s="45" t="n">
        <v>0.08110000000000001</v>
      </c>
      <c r="N51" s="45" t="n">
        <v>0.016</v>
      </c>
      <c r="O51" s="45" t="n">
        <v>0.1918</v>
      </c>
      <c r="P51" s="24" t="inlineStr">
        <is>
          <t>P4</t>
        </is>
      </c>
      <c r="Q51" s="24" t="inlineStr">
        <is>
          <t>Tasa de pérdida</t>
        </is>
      </c>
    </row>
    <row r="52">
      <c r="A52" s="50" t="inlineStr">
        <is>
          <t>3536070</t>
        </is>
      </c>
      <c r="B52" s="41" t="inlineStr">
        <is>
          <t>Sistemas Integrados de Gestión</t>
        </is>
      </c>
      <c r="C52" s="41" t="inlineStr">
        <is>
          <t>DIURNA</t>
        </is>
      </c>
      <c r="D52" s="41" t="inlineStr">
        <is>
          <t>GEN-353</t>
        </is>
      </c>
      <c r="E52" s="50" t="n">
        <v>24</v>
      </c>
      <c r="F52" s="42" t="n">
        <v>24</v>
      </c>
      <c r="G52" s="42" t="n">
        <v>0</v>
      </c>
      <c r="H52" s="42" t="n">
        <v>0</v>
      </c>
      <c r="I52" s="43" t="n">
        <v>0</v>
      </c>
      <c r="J52" s="54" t="n">
        <v>15.5</v>
      </c>
      <c r="K52" s="41" t="inlineStr">
        <is>
          <t>Bajo</t>
        </is>
      </c>
      <c r="L52" s="50" t="n">
        <v>48</v>
      </c>
      <c r="M52" s="43" t="n">
        <v>0.08110000000000001</v>
      </c>
      <c r="N52" s="43" t="n">
        <v>0.016</v>
      </c>
      <c r="O52" s="43" t="n">
        <v>0.1918</v>
      </c>
      <c r="P52" s="41" t="inlineStr">
        <is>
          <t>P4</t>
        </is>
      </c>
      <c r="Q52" s="41" t="inlineStr">
        <is>
          <t>Tasa de pérdida</t>
        </is>
      </c>
    </row>
    <row r="53">
      <c r="A53" s="48" t="inlineStr">
        <is>
          <t>3566609</t>
        </is>
      </c>
      <c r="B53" s="24" t="inlineStr">
        <is>
          <t>Manufactura Baxter</t>
        </is>
      </c>
      <c r="C53" s="24" t="inlineStr">
        <is>
          <t>DIURNA</t>
        </is>
      </c>
      <c r="D53" s="24" t="inlineStr">
        <is>
          <t>GEN-356</t>
        </is>
      </c>
      <c r="E53" s="48" t="n">
        <v>26</v>
      </c>
      <c r="F53" s="44" t="n">
        <v>26</v>
      </c>
      <c r="G53" s="44" t="n">
        <v>0</v>
      </c>
      <c r="H53" s="44" t="n">
        <v>0</v>
      </c>
      <c r="I53" s="45" t="n">
        <v>0</v>
      </c>
      <c r="J53" s="53" t="n">
        <v>12.7</v>
      </c>
      <c r="K53" s="24" t="inlineStr">
        <is>
          <t>Bajo</t>
        </is>
      </c>
      <c r="L53" s="48" t="n">
        <v>49</v>
      </c>
      <c r="M53" s="45" t="n">
        <v>0.0766</v>
      </c>
      <c r="N53" s="45" t="n">
        <v>0.015</v>
      </c>
      <c r="O53" s="45" t="n">
        <v>0.1817</v>
      </c>
      <c r="P53" s="24" t="inlineStr">
        <is>
          <t>P4</t>
        </is>
      </c>
      <c r="Q53" s="24" t="inlineStr">
        <is>
          <t>Tasa de pérdida</t>
        </is>
      </c>
    </row>
    <row r="54">
      <c r="A54" s="50" t="inlineStr">
        <is>
          <t>3465201</t>
        </is>
      </c>
      <c r="B54" s="41" t="inlineStr">
        <is>
          <t>Monitoreo Ambiental</t>
        </is>
      </c>
      <c r="C54" s="41" t="inlineStr">
        <is>
          <t>DIURNA</t>
        </is>
      </c>
      <c r="D54" s="41" t="inlineStr">
        <is>
          <t>GEN-346</t>
        </is>
      </c>
      <c r="E54" s="50" t="n">
        <v>30</v>
      </c>
      <c r="F54" s="42" t="n">
        <v>30</v>
      </c>
      <c r="G54" s="42" t="n">
        <v>0</v>
      </c>
      <c r="H54" s="42" t="n">
        <v>0</v>
      </c>
      <c r="I54" s="43" t="n">
        <v>0</v>
      </c>
      <c r="J54" s="54" t="n">
        <v>7.3</v>
      </c>
      <c r="K54" s="41" t="inlineStr">
        <is>
          <t>Bajo</t>
        </is>
      </c>
      <c r="L54" s="50" t="n">
        <v>50</v>
      </c>
      <c r="M54" s="43" t="n">
        <v>0.0689</v>
      </c>
      <c r="N54" s="43" t="n">
        <v>0.0135</v>
      </c>
      <c r="O54" s="43" t="n">
        <v>0.1643</v>
      </c>
      <c r="P54" s="41" t="inlineStr">
        <is>
          <t>P4</t>
        </is>
      </c>
      <c r="Q54" s="41" t="inlineStr">
        <is>
          <t>Tasa de pérdida</t>
        </is>
      </c>
    </row>
    <row r="55">
      <c r="A55" s="48" t="inlineStr">
        <is>
          <t>3492340</t>
        </is>
      </c>
      <c r="B55" s="24" t="inlineStr">
        <is>
          <t>Modelado de Productos</t>
        </is>
      </c>
      <c r="C55" s="24" t="inlineStr">
        <is>
          <t>DIURNA</t>
        </is>
      </c>
      <c r="D55" s="24" t="inlineStr">
        <is>
          <t>GEN-349</t>
        </is>
      </c>
      <c r="E55" s="48" t="n">
        <v>30</v>
      </c>
      <c r="F55" s="44" t="n">
        <v>30</v>
      </c>
      <c r="G55" s="44" t="n">
        <v>0</v>
      </c>
      <c r="H55" s="44" t="n">
        <v>0</v>
      </c>
      <c r="I55" s="45" t="n">
        <v>0</v>
      </c>
      <c r="J55" s="53" t="n">
        <v>7.3</v>
      </c>
      <c r="K55" s="24" t="inlineStr">
        <is>
          <t>Bajo</t>
        </is>
      </c>
      <c r="L55" s="48" t="n">
        <v>51</v>
      </c>
      <c r="M55" s="45" t="n">
        <v>0.0689</v>
      </c>
      <c r="N55" s="45" t="n">
        <v>0.0135</v>
      </c>
      <c r="O55" s="45" t="n">
        <v>0.1643</v>
      </c>
      <c r="P55" s="24" t="inlineStr">
        <is>
          <t>P4</t>
        </is>
      </c>
      <c r="Q55" s="24" t="inlineStr">
        <is>
          <t>Tasa de pérdida</t>
        </is>
      </c>
    </row>
    <row r="56">
      <c r="A56" s="50" t="inlineStr">
        <is>
          <t>3492368</t>
        </is>
      </c>
      <c r="B56" s="41" t="inlineStr">
        <is>
          <t>Componentes Mecánicos</t>
        </is>
      </c>
      <c r="C56" s="41" t="inlineStr">
        <is>
          <t>NOCTURNA</t>
        </is>
      </c>
      <c r="D56" s="41" t="inlineStr">
        <is>
          <t>GEN-349</t>
        </is>
      </c>
      <c r="E56" s="50" t="n">
        <v>30</v>
      </c>
      <c r="F56" s="42" t="n">
        <v>30</v>
      </c>
      <c r="G56" s="42" t="n">
        <v>0</v>
      </c>
      <c r="H56" s="42" t="n">
        <v>0</v>
      </c>
      <c r="I56" s="43" t="n">
        <v>0</v>
      </c>
      <c r="J56" s="54" t="n">
        <v>7.3</v>
      </c>
      <c r="K56" s="41" t="inlineStr">
        <is>
          <t>Bajo</t>
        </is>
      </c>
      <c r="L56" s="50" t="n">
        <v>52</v>
      </c>
      <c r="M56" s="43" t="n">
        <v>0.0689</v>
      </c>
      <c r="N56" s="43" t="n">
        <v>0.0135</v>
      </c>
      <c r="O56" s="43" t="n">
        <v>0.1643</v>
      </c>
      <c r="P56" s="41" t="inlineStr">
        <is>
          <t>P4</t>
        </is>
      </c>
      <c r="Q56" s="41" t="inlineStr">
        <is>
          <t>Tasa de pérdida</t>
        </is>
      </c>
    </row>
    <row r="57">
      <c r="A57" s="48" t="inlineStr">
        <is>
          <t>3536446</t>
        </is>
      </c>
      <c r="B57" s="24" t="inlineStr">
        <is>
          <t>Química Aplicada</t>
        </is>
      </c>
      <c r="C57" s="24" t="inlineStr">
        <is>
          <t>DIURNA</t>
        </is>
      </c>
      <c r="D57" s="24" t="inlineStr">
        <is>
          <t>GEN-353</t>
        </is>
      </c>
      <c r="E57" s="48" t="n">
        <v>30</v>
      </c>
      <c r="F57" s="44" t="n">
        <v>30</v>
      </c>
      <c r="G57" s="44" t="n">
        <v>0</v>
      </c>
      <c r="H57" s="44" t="n">
        <v>0</v>
      </c>
      <c r="I57" s="45" t="n">
        <v>0</v>
      </c>
      <c r="J57" s="53" t="n">
        <v>7.3</v>
      </c>
      <c r="K57" s="24" t="inlineStr">
        <is>
          <t>Bajo</t>
        </is>
      </c>
      <c r="L57" s="48" t="n">
        <v>53</v>
      </c>
      <c r="M57" s="45" t="n">
        <v>0.0689</v>
      </c>
      <c r="N57" s="45" t="n">
        <v>0.0135</v>
      </c>
      <c r="O57" s="45" t="n">
        <v>0.1643</v>
      </c>
      <c r="P57" s="24" t="inlineStr">
        <is>
          <t>P4</t>
        </is>
      </c>
      <c r="Q57" s="24" t="inlineStr">
        <is>
          <t>Tasa de pérdida</t>
        </is>
      </c>
    </row>
    <row r="58">
      <c r="A58" s="50" t="inlineStr">
        <is>
          <t>3585066</t>
        </is>
      </c>
      <c r="B58" s="41" t="inlineStr">
        <is>
          <t>Monitoreo Ambiental</t>
        </is>
      </c>
      <c r="C58" s="41" t="inlineStr">
        <is>
          <t>DIURNA</t>
        </is>
      </c>
      <c r="D58" s="41" t="inlineStr">
        <is>
          <t>GEN-358</t>
        </is>
      </c>
      <c r="E58" s="50" t="n">
        <v>30</v>
      </c>
      <c r="F58" s="42" t="n">
        <v>30</v>
      </c>
      <c r="G58" s="42" t="n">
        <v>0</v>
      </c>
      <c r="H58" s="42" t="n">
        <v>0</v>
      </c>
      <c r="I58" s="43" t="n">
        <v>0</v>
      </c>
      <c r="J58" s="54" t="n">
        <v>7.3</v>
      </c>
      <c r="K58" s="41" t="inlineStr">
        <is>
          <t>Bajo</t>
        </is>
      </c>
      <c r="L58" s="50" t="n">
        <v>54</v>
      </c>
      <c r="M58" s="43" t="n">
        <v>0.0689</v>
      </c>
      <c r="N58" s="43" t="n">
        <v>0.0135</v>
      </c>
      <c r="O58" s="43" t="n">
        <v>0.1643</v>
      </c>
      <c r="P58" s="41" t="inlineStr">
        <is>
          <t>P4</t>
        </is>
      </c>
      <c r="Q58" s="41" t="inlineStr">
        <is>
          <t>Tasa de pérdida</t>
        </is>
      </c>
    </row>
    <row r="59">
      <c r="A59" s="48" t="inlineStr">
        <is>
          <t>3536292</t>
        </is>
      </c>
      <c r="B59" s="24" t="inlineStr">
        <is>
          <t>Sistemas Integrados de Gestión</t>
        </is>
      </c>
      <c r="C59" s="24" t="inlineStr">
        <is>
          <t>NOCTURNA</t>
        </is>
      </c>
      <c r="D59" s="24" t="inlineStr">
        <is>
          <t>GEN-353</t>
        </is>
      </c>
      <c r="E59" s="48" t="n">
        <v>31</v>
      </c>
      <c r="F59" s="44" t="n">
        <v>31</v>
      </c>
      <c r="G59" s="44" t="n">
        <v>0</v>
      </c>
      <c r="H59" s="44" t="n">
        <v>0</v>
      </c>
      <c r="I59" s="45" t="n">
        <v>0</v>
      </c>
      <c r="J59" s="53" t="n">
        <v>1.8</v>
      </c>
      <c r="K59" s="24" t="inlineStr">
        <is>
          <t>Bajo</t>
        </is>
      </c>
      <c r="L59" s="48" t="n">
        <v>55</v>
      </c>
      <c r="M59" s="45" t="n">
        <v>0.0673</v>
      </c>
      <c r="N59" s="45" t="n">
        <v>0.0131</v>
      </c>
      <c r="O59" s="45" t="n">
        <v>0.1604</v>
      </c>
      <c r="P59" s="24" t="inlineStr">
        <is>
          <t>P4</t>
        </is>
      </c>
      <c r="Q59" s="24" t="inlineStr">
        <is>
          <t>Tasa de pérdida</t>
        </is>
      </c>
    </row>
    <row r="60">
      <c r="A60" s="50" t="inlineStr">
        <is>
          <t>3465186</t>
        </is>
      </c>
      <c r="B60" s="41" t="inlineStr">
        <is>
          <t>Monitoreo Ambiental</t>
        </is>
      </c>
      <c r="C60" s="41" t="inlineStr">
        <is>
          <t>DIURNA</t>
        </is>
      </c>
      <c r="D60" s="41" t="inlineStr">
        <is>
          <t>GEN-346</t>
        </is>
      </c>
      <c r="E60" s="50" t="n">
        <v>39</v>
      </c>
      <c r="F60" s="42" t="n">
        <v>39</v>
      </c>
      <c r="G60" s="42" t="n">
        <v>0</v>
      </c>
      <c r="H60" s="42" t="n">
        <v>0</v>
      </c>
      <c r="I60" s="43" t="n">
        <v>0</v>
      </c>
      <c r="J60" s="54" t="n">
        <v>0</v>
      </c>
      <c r="K60" s="41" t="inlineStr">
        <is>
          <t>Bajo</t>
        </is>
      </c>
      <c r="L60" s="50" t="n">
        <v>56</v>
      </c>
      <c r="M60" s="43" t="n">
        <v>0.0563</v>
      </c>
      <c r="N60" s="43" t="n">
        <v>0.0109</v>
      </c>
      <c r="O60" s="43" t="n">
        <v>0.1351</v>
      </c>
      <c r="P60" s="41" t="inlineStr">
        <is>
          <t>P4</t>
        </is>
      </c>
      <c r="Q60" s="41" t="inlineStr">
        <is>
          <t>Tasa de pérdida</t>
        </is>
      </c>
    </row>
    <row r="62" ht="44" customHeight="1">
      <c r="A62" s="52" t="inlineStr">
        <is>
          <t>La probabilidad de pérdida es la media posterior beta-binomial por ficha (prior k=10). No es un pronóstico individual ni una fecha de deserción. El índice de riesgo es un percentil de la tasa ajustada; ambas columnas responden a preguntas distintas. Use el IC y el tamaño de ficha antes de concluir diferencias.</t>
        </is>
      </c>
      <c r="B62" s="29" t="n"/>
      <c r="C62" s="29" t="n"/>
      <c r="D62" s="29" t="n"/>
      <c r="E62" s="29" t="n"/>
      <c r="F62" s="29" t="n"/>
      <c r="G62" s="29" t="n"/>
      <c r="H62" s="29" t="n"/>
      <c r="I62" s="29" t="n"/>
      <c r="J62" s="29" t="n"/>
      <c r="K62" s="29" t="n"/>
      <c r="L62" s="29" t="n"/>
    </row>
  </sheetData>
  <mergeCells count="3">
    <mergeCell ref="A2:Q2"/>
    <mergeCell ref="A1:Q1"/>
    <mergeCell ref="A62:L62"/>
  </mergeCells>
  <conditionalFormatting sqref="I5:I60">
    <cfRule type="colorScale" priority="1">
      <colorScale>
        <cfvo type="num" val="0"/>
        <cfvo type="num" val="0.3"/>
        <cfvo type="num" val="0.6"/>
        <color rgb="00C6EFCE"/>
        <color rgb="00FFEB9C"/>
        <color rgb="00F4B6B6"/>
      </colorScale>
    </cfRule>
  </conditionalFormatting>
  <conditionalFormatting sqref="K5:K60">
    <cfRule type="cellIs" priority="2" operator="equal" dxfId="0">
      <formula>"Crítico"</formula>
    </cfRule>
    <cfRule type="cellIs" priority="3" operator="equal" dxfId="1">
      <formula>"Alto"</formula>
    </cfRule>
    <cfRule type="cellIs" priority="4" operator="equal" dxfId="2">
      <formula>"Medio"</formula>
    </cfRule>
    <cfRule type="cellIs" priority="5" operator="equal" dxfId="3">
      <formula>"Bajo"</formula>
    </cfRule>
  </conditionalFormatting>
  <pageMargins left="0.35" right="0.35" top="0.45" bottom="0.45" header="0.5" footer="0.5"/>
  <pageSetup orientation="landscape" fitToHeight="1" fitToWidth="1"/>
  <headerFooter>
    <oddHeader/>
    <oddFooter>&amp;C&amp;8 &amp;K808080Caracterización de Aprendices Centro ASTIN · Corte 19/10/2026 · Datos sin PII</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fitToPage="1"/>
  </sheetPr>
  <dimension ref="A1:L21"/>
  <sheetViews>
    <sheetView showGridLines="0" workbookViewId="0">
      <selection activeCell="A1" sqref="A1"/>
    </sheetView>
  </sheetViews>
  <sheetFormatPr baseColWidth="8" defaultRowHeight="15"/>
  <cols>
    <col width="13" customWidth="1" min="1" max="1"/>
    <col width="24" customWidth="1" min="2" max="2"/>
    <col width="13" customWidth="1" min="3" max="3"/>
    <col width="13" customWidth="1" min="4" max="4"/>
    <col width="13" customWidth="1" min="5" max="5"/>
    <col width="13" customWidth="1" min="6" max="6"/>
  </cols>
  <sheetData>
    <row r="1" ht="38" customHeight="1">
      <c r="A1" s="35" t="inlineStr">
        <is>
          <t>Cohortes y tendencia</t>
        </is>
      </c>
      <c r="B1" s="2" t="n"/>
      <c r="C1" s="2" t="n"/>
      <c r="D1" s="2" t="n"/>
      <c r="E1" s="2" t="n"/>
      <c r="F1" s="2" t="n"/>
      <c r="G1" s="2" t="n"/>
      <c r="H1" s="2" t="n"/>
      <c r="I1" s="2" t="n"/>
      <c r="J1" s="2" t="n"/>
      <c r="K1" s="2" t="n"/>
      <c r="L1" s="2" t="n"/>
    </row>
    <row r="2" ht="24" customHeight="1">
      <c r="A2" s="36" t="inlineStr">
        <is>
          <t>Agregación por prefijo de ficha. El prefijo es un proxy de generación, no un año calendario.</t>
        </is>
      </c>
      <c r="B2" s="37" t="n"/>
      <c r="C2" s="37" t="n"/>
      <c r="D2" s="37" t="n"/>
      <c r="E2" s="37" t="n"/>
      <c r="F2" s="37" t="n"/>
      <c r="G2" s="37" t="n"/>
      <c r="H2" s="37" t="n"/>
      <c r="I2" s="37" t="n"/>
      <c r="J2" s="37" t="n"/>
      <c r="K2" s="37" t="n"/>
      <c r="L2" s="37" t="n"/>
    </row>
    <row r="4" ht="27" customHeight="1">
      <c r="A4" s="40" t="inlineStr">
        <is>
          <t>Orden</t>
        </is>
      </c>
      <c r="B4" s="40" t="inlineStr">
        <is>
          <t>Generación</t>
        </is>
      </c>
      <c r="C4" s="40" t="inlineStr">
        <is>
          <t>Fichas</t>
        </is>
      </c>
      <c r="D4" s="40" t="inlineStr">
        <is>
          <t>Matrículas</t>
        </is>
      </c>
      <c r="E4" s="40" t="inlineStr">
        <is>
          <t>Pérdidas</t>
        </is>
      </c>
      <c r="F4" s="40" t="inlineStr">
        <is>
          <t>Tasa de pérdida</t>
        </is>
      </c>
      <c r="H4" s="46" t="inlineStr">
        <is>
          <t>Prueba de tendencia
Spearman ρ = -0.921 (p &lt; 0,001)
Cochran–Armitage z = -14.688 (p &lt; 0,001)
Pendiente = -3.52 pp por generación
La tendencia es descriptiva. No hay fechas de matrícula ni retiro: no se puede separar maduración de cohorte de riesgo real ni estimar estacionalidad.</t>
        </is>
      </c>
      <c r="I4" s="33" t="n"/>
      <c r="J4" s="33" t="n"/>
      <c r="K4" s="33" t="n"/>
      <c r="L4" s="33" t="n"/>
    </row>
    <row r="5">
      <c r="A5" s="44" t="n">
        <v>1</v>
      </c>
      <c r="B5" s="24" t="inlineStr">
        <is>
          <t>Generación 314</t>
        </is>
      </c>
      <c r="C5" s="44" t="n">
        <v>4</v>
      </c>
      <c r="D5" s="44" t="n">
        <v>121</v>
      </c>
      <c r="E5" s="44" t="n">
        <v>60</v>
      </c>
      <c r="F5" s="45" t="n">
        <v>0.4959</v>
      </c>
      <c r="H5" s="33" t="n"/>
      <c r="I5" s="33" t="n"/>
      <c r="J5" s="33" t="n"/>
      <c r="K5" s="33" t="n"/>
      <c r="L5" s="33" t="n"/>
    </row>
    <row r="6">
      <c r="A6" s="42" t="n">
        <v>2</v>
      </c>
      <c r="B6" s="41" t="inlineStr">
        <is>
          <t>Generación 317</t>
        </is>
      </c>
      <c r="C6" s="42" t="n">
        <v>8</v>
      </c>
      <c r="D6" s="42" t="n">
        <v>230</v>
      </c>
      <c r="E6" s="42" t="n">
        <v>100</v>
      </c>
      <c r="F6" s="43" t="n">
        <v>0.4348</v>
      </c>
      <c r="H6" s="33" t="n"/>
      <c r="I6" s="33" t="n"/>
      <c r="J6" s="33" t="n"/>
      <c r="K6" s="33" t="n"/>
      <c r="L6" s="33" t="n"/>
    </row>
    <row r="7">
      <c r="A7" s="44" t="n">
        <v>3</v>
      </c>
      <c r="B7" s="24" t="inlineStr">
        <is>
          <t>Generación 318</t>
        </is>
      </c>
      <c r="C7" s="44" t="n">
        <v>2</v>
      </c>
      <c r="D7" s="44" t="n">
        <v>50</v>
      </c>
      <c r="E7" s="44" t="n">
        <v>26</v>
      </c>
      <c r="F7" s="45" t="n">
        <v>0.52</v>
      </c>
      <c r="H7" s="33" t="n"/>
      <c r="I7" s="33" t="n"/>
      <c r="J7" s="33" t="n"/>
      <c r="K7" s="33" t="n"/>
      <c r="L7" s="33" t="n"/>
    </row>
    <row r="8">
      <c r="A8" s="42" t="n">
        <v>4</v>
      </c>
      <c r="B8" s="41" t="inlineStr">
        <is>
          <t>Generación 323</t>
        </is>
      </c>
      <c r="C8" s="42" t="n">
        <v>1</v>
      </c>
      <c r="D8" s="42" t="n">
        <v>24</v>
      </c>
      <c r="E8" s="42" t="n">
        <v>10</v>
      </c>
      <c r="F8" s="43" t="n">
        <v>0.4167</v>
      </c>
      <c r="H8" s="33" t="n"/>
      <c r="I8" s="33" t="n"/>
      <c r="J8" s="33" t="n"/>
      <c r="K8" s="33" t="n"/>
      <c r="L8" s="33" t="n"/>
    </row>
    <row r="9">
      <c r="A9" s="44" t="n">
        <v>5</v>
      </c>
      <c r="B9" s="24" t="inlineStr">
        <is>
          <t>Generación 330</t>
        </is>
      </c>
      <c r="C9" s="44" t="n">
        <v>4</v>
      </c>
      <c r="D9" s="44" t="n">
        <v>146</v>
      </c>
      <c r="E9" s="44" t="n">
        <v>64</v>
      </c>
      <c r="F9" s="45" t="n">
        <v>0.4384</v>
      </c>
    </row>
    <row r="10">
      <c r="A10" s="42" t="n">
        <v>6</v>
      </c>
      <c r="B10" s="41" t="inlineStr">
        <is>
          <t>Generación 331</t>
        </is>
      </c>
      <c r="C10" s="42" t="n">
        <v>1</v>
      </c>
      <c r="D10" s="42" t="n">
        <v>26</v>
      </c>
      <c r="E10" s="42" t="n">
        <v>6</v>
      </c>
      <c r="F10" s="43" t="n">
        <v>0.2308</v>
      </c>
    </row>
    <row r="11">
      <c r="A11" s="44" t="n">
        <v>7</v>
      </c>
      <c r="B11" s="24" t="inlineStr">
        <is>
          <t>Generación 335</t>
        </is>
      </c>
      <c r="C11" s="44" t="n">
        <v>3</v>
      </c>
      <c r="D11" s="44" t="n">
        <v>74</v>
      </c>
      <c r="E11" s="44" t="n">
        <v>35</v>
      </c>
      <c r="F11" s="45" t="n">
        <v>0.473</v>
      </c>
    </row>
    <row r="12">
      <c r="A12" s="42" t="n">
        <v>8</v>
      </c>
      <c r="B12" s="41" t="inlineStr">
        <is>
          <t>Generación 340</t>
        </is>
      </c>
      <c r="C12" s="42" t="n">
        <v>5</v>
      </c>
      <c r="D12" s="42" t="n">
        <v>100</v>
      </c>
      <c r="E12" s="42" t="n">
        <v>32</v>
      </c>
      <c r="F12" s="43" t="n">
        <v>0.32</v>
      </c>
    </row>
    <row r="13">
      <c r="A13" s="44" t="n">
        <v>9</v>
      </c>
      <c r="B13" s="24" t="inlineStr">
        <is>
          <t>Generación 341</t>
        </is>
      </c>
      <c r="C13" s="44" t="n">
        <v>9</v>
      </c>
      <c r="D13" s="44" t="n">
        <v>275</v>
      </c>
      <c r="E13" s="44" t="n">
        <v>61</v>
      </c>
      <c r="F13" s="45" t="n">
        <v>0.2218</v>
      </c>
    </row>
    <row r="14">
      <c r="A14" s="42" t="n">
        <v>10</v>
      </c>
      <c r="B14" s="41" t="inlineStr">
        <is>
          <t>Generación 343</t>
        </is>
      </c>
      <c r="C14" s="42" t="n">
        <v>1</v>
      </c>
      <c r="D14" s="42" t="n">
        <v>21</v>
      </c>
      <c r="E14" s="42" t="n">
        <v>1</v>
      </c>
      <c r="F14" s="43" t="n">
        <v>0.0476</v>
      </c>
    </row>
    <row r="15">
      <c r="A15" s="44" t="n">
        <v>11</v>
      </c>
      <c r="B15" s="24" t="inlineStr">
        <is>
          <t>Generación 344</t>
        </is>
      </c>
      <c r="C15" s="44" t="n">
        <v>6</v>
      </c>
      <c r="D15" s="44" t="n">
        <v>191</v>
      </c>
      <c r="E15" s="44" t="n">
        <v>44</v>
      </c>
      <c r="F15" s="45" t="n">
        <v>0.2304</v>
      </c>
    </row>
    <row r="16">
      <c r="A16" s="42" t="n">
        <v>12</v>
      </c>
      <c r="B16" s="41" t="inlineStr">
        <is>
          <t>Generación 345</t>
        </is>
      </c>
      <c r="C16" s="42" t="n">
        <v>1</v>
      </c>
      <c r="D16" s="42" t="n">
        <v>23</v>
      </c>
      <c r="E16" s="42" t="n">
        <v>0</v>
      </c>
      <c r="F16" s="43" t="n">
        <v>0</v>
      </c>
    </row>
    <row r="17">
      <c r="A17" s="44" t="n">
        <v>13</v>
      </c>
      <c r="B17" s="24" t="inlineStr">
        <is>
          <t>Generación 346</t>
        </is>
      </c>
      <c r="C17" s="44" t="n">
        <v>2</v>
      </c>
      <c r="D17" s="44" t="n">
        <v>69</v>
      </c>
      <c r="E17" s="44" t="n">
        <v>0</v>
      </c>
      <c r="F17" s="45" t="n">
        <v>0</v>
      </c>
    </row>
    <row r="18">
      <c r="A18" s="42" t="n">
        <v>14</v>
      </c>
      <c r="B18" s="41" t="inlineStr">
        <is>
          <t>Generación 349</t>
        </is>
      </c>
      <c r="C18" s="42" t="n">
        <v>2</v>
      </c>
      <c r="D18" s="42" t="n">
        <v>60</v>
      </c>
      <c r="E18" s="42" t="n">
        <v>0</v>
      </c>
      <c r="F18" s="43" t="n">
        <v>0</v>
      </c>
    </row>
    <row r="19">
      <c r="A19" s="44" t="n">
        <v>15</v>
      </c>
      <c r="B19" s="24" t="inlineStr">
        <is>
          <t>Generación 353</t>
        </is>
      </c>
      <c r="C19" s="44" t="n">
        <v>3</v>
      </c>
      <c r="D19" s="44" t="n">
        <v>85</v>
      </c>
      <c r="E19" s="44" t="n">
        <v>0</v>
      </c>
      <c r="F19" s="45" t="n">
        <v>0</v>
      </c>
    </row>
    <row r="20">
      <c r="A20" s="42" t="n">
        <v>16</v>
      </c>
      <c r="B20" s="41" t="inlineStr">
        <is>
          <t>Generación 356</t>
        </is>
      </c>
      <c r="C20" s="42" t="n">
        <v>2</v>
      </c>
      <c r="D20" s="42" t="n">
        <v>49</v>
      </c>
      <c r="E20" s="42" t="n">
        <v>0</v>
      </c>
      <c r="F20" s="43" t="n">
        <v>0</v>
      </c>
    </row>
    <row r="21">
      <c r="A21" s="44" t="n">
        <v>17</v>
      </c>
      <c r="B21" s="24" t="inlineStr">
        <is>
          <t>Generación 358</t>
        </is>
      </c>
      <c r="C21" s="44" t="n">
        <v>2</v>
      </c>
      <c r="D21" s="44" t="n">
        <v>48</v>
      </c>
      <c r="E21" s="44" t="n">
        <v>0</v>
      </c>
      <c r="F21" s="45" t="n">
        <v>0</v>
      </c>
    </row>
  </sheetData>
  <mergeCells count="3">
    <mergeCell ref="A2:L2"/>
    <mergeCell ref="H4:L8"/>
    <mergeCell ref="A1:L1"/>
  </mergeCells>
  <conditionalFormatting sqref="F5:F21">
    <cfRule type="colorScale" priority="1">
      <colorScale>
        <cfvo type="num" val="0"/>
        <cfvo type="num" val="0.25"/>
        <cfvo type="num" val="0.55"/>
        <color rgb="00C6EFCE"/>
        <color rgb="00FFEB9C"/>
        <color rgb="00F4B6B6"/>
      </colorScale>
    </cfRule>
  </conditionalFormatting>
  <pageMargins left="0.35" right="0.35" top="0.45" bottom="0.45" header="0.5" footer="0.5"/>
  <pageSetup orientation="landscape" fitToHeight="1" fitToWidth="1"/>
  <headerFooter>
    <oddHeader/>
    <oddFooter>&amp;C&amp;8 &amp;K808080Caracterización de Aprendices Centro ASTIN · Corte 19/10/2026 · Datos sin PII</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fitToPage="1"/>
  </sheetPr>
  <dimension ref="A1:N79"/>
  <sheetViews>
    <sheetView showGridLines="0" workbookViewId="0">
      <pane xSplit="1" ySplit="17" topLeftCell="B18"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8" customWidth="1" min="3" max="3"/>
    <col width="13" customWidth="1" min="4" max="4"/>
    <col width="14"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ht="38" customHeight="1">
      <c r="A1" s="35" t="inlineStr">
        <is>
          <t>Riesgo y priorización de fichas</t>
        </is>
      </c>
      <c r="B1" s="2" t="n"/>
      <c r="C1" s="2" t="n"/>
      <c r="D1" s="2" t="n"/>
      <c r="E1" s="2" t="n"/>
      <c r="F1" s="2" t="n"/>
      <c r="G1" s="2" t="n"/>
      <c r="H1" s="2" t="n"/>
      <c r="I1" s="2" t="n"/>
      <c r="J1" s="2" t="n"/>
      <c r="K1" s="2" t="n"/>
      <c r="L1" s="2" t="n"/>
      <c r="M1" s="2" t="n"/>
      <c r="N1" s="2" t="n"/>
    </row>
    <row r="2" ht="24" customHeight="1">
      <c r="A2" s="36" t="inlineStr">
        <is>
          <t>Bandas de riesgo, validación empírica y fichas que requieren intervención.</t>
        </is>
      </c>
      <c r="B2" s="37" t="n"/>
      <c r="C2" s="37" t="n"/>
      <c r="D2" s="37" t="n"/>
      <c r="E2" s="37" t="n"/>
      <c r="F2" s="37" t="n"/>
      <c r="G2" s="37" t="n"/>
      <c r="H2" s="37" t="n"/>
      <c r="I2" s="37" t="n"/>
      <c r="J2" s="37" t="n"/>
      <c r="K2" s="37" t="n"/>
      <c r="L2" s="37" t="n"/>
      <c r="M2" s="37" t="n"/>
      <c r="N2" s="37" t="n"/>
    </row>
    <row r="4" ht="27" customHeight="1">
      <c r="A4" s="40" t="inlineStr">
        <is>
          <t>Nivel</t>
        </is>
      </c>
      <c r="B4" s="40" t="inlineStr">
        <is>
          <t>Fichas</t>
        </is>
      </c>
      <c r="C4" s="40" t="inlineStr">
        <is>
          <t>Matrículas</t>
        </is>
      </c>
      <c r="D4" s="40" t="inlineStr">
        <is>
          <t>Pérdidas</t>
        </is>
      </c>
      <c r="E4" s="40" t="inlineStr">
        <is>
          <t>Tasa observada</t>
        </is>
      </c>
    </row>
    <row r="5">
      <c r="A5" s="24" t="inlineStr">
        <is>
          <t>Bajo</t>
        </is>
      </c>
      <c r="B5" s="44" t="n">
        <v>28</v>
      </c>
      <c r="C5" s="44" t="n">
        <v>789</v>
      </c>
      <c r="D5" s="44" t="n">
        <v>87</v>
      </c>
      <c r="E5" s="45" t="n">
        <v>0.1103</v>
      </c>
    </row>
    <row r="6">
      <c r="A6" s="41" t="inlineStr">
        <is>
          <t>Medio</t>
        </is>
      </c>
      <c r="B6" s="42" t="n">
        <v>14</v>
      </c>
      <c r="C6" s="42" t="n">
        <v>389</v>
      </c>
      <c r="D6" s="42" t="n">
        <v>137</v>
      </c>
      <c r="E6" s="43" t="n">
        <v>0.3522</v>
      </c>
    </row>
    <row r="7">
      <c r="A7" s="24" t="inlineStr">
        <is>
          <t>Alto</t>
        </is>
      </c>
      <c r="B7" s="44" t="n">
        <v>8</v>
      </c>
      <c r="C7" s="44" t="n">
        <v>208</v>
      </c>
      <c r="D7" s="44" t="n">
        <v>99</v>
      </c>
      <c r="E7" s="45" t="n">
        <v>0.476</v>
      </c>
    </row>
    <row r="8">
      <c r="A8" s="41" t="inlineStr">
        <is>
          <t>Crítico</t>
        </is>
      </c>
      <c r="B8" s="42" t="n">
        <v>6</v>
      </c>
      <c r="C8" s="42" t="n">
        <v>206</v>
      </c>
      <c r="D8" s="42" t="n">
        <v>116</v>
      </c>
      <c r="E8" s="43" t="n">
        <v>0.5631</v>
      </c>
    </row>
    <row r="17" ht="27" customHeight="1">
      <c r="A17" s="40" t="inlineStr">
        <is>
          <t>Ranking</t>
        </is>
      </c>
      <c r="B17" s="40" t="inlineStr">
        <is>
          <t>Ficha</t>
        </is>
      </c>
      <c r="C17" s="40" t="inlineStr">
        <is>
          <t>Programa</t>
        </is>
      </c>
      <c r="D17" s="40" t="inlineStr">
        <is>
          <t>Jornada</t>
        </is>
      </c>
      <c r="E17" s="40" t="inlineStr">
        <is>
          <t>Matrículas</t>
        </is>
      </c>
      <c r="F17" s="40" t="inlineStr">
        <is>
          <t>Pérdidas</t>
        </is>
      </c>
      <c r="G17" s="40" t="inlineStr">
        <is>
          <t>Tasa observada</t>
        </is>
      </c>
      <c r="H17" s="40" t="inlineStr">
        <is>
          <t>Índice</t>
        </is>
      </c>
      <c r="I17" s="40" t="inlineStr">
        <is>
          <t>Nivel</t>
        </is>
      </c>
      <c r="J17" s="40" t="inlineStr">
        <is>
          <t>Prob. ficha</t>
        </is>
      </c>
      <c r="K17" s="40" t="inlineStr">
        <is>
          <t>IC inf.</t>
        </is>
      </c>
      <c r="L17" s="40" t="inlineStr">
        <is>
          <t>IC sup.</t>
        </is>
      </c>
      <c r="M17" s="40" t="inlineStr">
        <is>
          <t>Prioridad</t>
        </is>
      </c>
    </row>
    <row r="18">
      <c r="A18" s="50" t="n">
        <v>1</v>
      </c>
      <c r="B18" s="50" t="inlineStr">
        <is>
          <t>3171493</t>
        </is>
      </c>
      <c r="C18" s="41" t="inlineStr">
        <is>
          <t>Producción Industrial</t>
        </is>
      </c>
      <c r="D18" s="41" t="inlineStr">
        <is>
          <t>NOCTURNA</t>
        </is>
      </c>
      <c r="E18" s="42" t="n">
        <v>29</v>
      </c>
      <c r="F18" s="42" t="n">
        <v>18</v>
      </c>
      <c r="G18" s="43" t="n">
        <v>0.6207</v>
      </c>
      <c r="H18" s="54" t="n">
        <v>100</v>
      </c>
      <c r="I18" s="41" t="inlineStr">
        <is>
          <t>Crítico</t>
        </is>
      </c>
      <c r="J18" s="43" t="n">
        <v>0.5322</v>
      </c>
      <c r="K18" s="43" t="n">
        <v>0.3769</v>
      </c>
      <c r="L18" s="43" t="n">
        <v>0.6844</v>
      </c>
      <c r="M18" s="41" t="inlineStr">
        <is>
          <t>P1</t>
        </is>
      </c>
    </row>
    <row r="19">
      <c r="A19" s="48" t="n">
        <v>2</v>
      </c>
      <c r="B19" s="48" t="inlineStr">
        <is>
          <t>3181464</t>
        </is>
      </c>
      <c r="C19" s="24" t="inlineStr">
        <is>
          <t>Sistemas Integrados de Gestión</t>
        </is>
      </c>
      <c r="D19" s="24" t="inlineStr">
        <is>
          <t>NOCTURNA</t>
        </is>
      </c>
      <c r="E19" s="44" t="n">
        <v>31</v>
      </c>
      <c r="F19" s="44" t="n">
        <v>19</v>
      </c>
      <c r="G19" s="45" t="n">
        <v>0.6129</v>
      </c>
      <c r="H19" s="53" t="n">
        <v>98.2</v>
      </c>
      <c r="I19" s="24" t="inlineStr">
        <is>
          <t>Crítico</t>
        </is>
      </c>
      <c r="J19" s="45" t="n">
        <v>0.5306999999999999</v>
      </c>
      <c r="K19" s="45" t="n">
        <v>0.3791</v>
      </c>
      <c r="L19" s="45" t="n">
        <v>0.6794</v>
      </c>
      <c r="M19" s="24" t="inlineStr">
        <is>
          <t>P1</t>
        </is>
      </c>
    </row>
    <row r="20">
      <c r="A20" s="50" t="n">
        <v>3</v>
      </c>
      <c r="B20" s="50" t="inlineStr">
        <is>
          <t>3145899</t>
        </is>
      </c>
      <c r="C20" s="41" t="inlineStr">
        <is>
          <t>Química Aplicada</t>
        </is>
      </c>
      <c r="D20" s="41" t="inlineStr">
        <is>
          <t>DIURNA</t>
        </is>
      </c>
      <c r="E20" s="42" t="n">
        <v>30</v>
      </c>
      <c r="F20" s="42" t="n">
        <v>18</v>
      </c>
      <c r="G20" s="43" t="n">
        <v>0.6</v>
      </c>
      <c r="H20" s="54" t="n">
        <v>96.40000000000001</v>
      </c>
      <c r="I20" s="41" t="inlineStr">
        <is>
          <t>Crítico</t>
        </is>
      </c>
      <c r="J20" s="43" t="n">
        <v>0.5189</v>
      </c>
      <c r="K20" s="43" t="n">
        <v>0.366</v>
      </c>
      <c r="L20" s="43" t="n">
        <v>0.6701</v>
      </c>
      <c r="M20" s="41" t="inlineStr">
        <is>
          <t>P1</t>
        </is>
      </c>
    </row>
    <row r="21">
      <c r="A21" s="48" t="n">
        <v>4</v>
      </c>
      <c r="B21" s="48" t="inlineStr">
        <is>
          <t>3302821</t>
        </is>
      </c>
      <c r="C21" s="24" t="inlineStr">
        <is>
          <t>Sistemas Integrados de Gestión</t>
        </is>
      </c>
      <c r="D21" s="24" t="inlineStr">
        <is>
          <t>NOCTURNA</t>
        </is>
      </c>
      <c r="E21" s="44" t="n">
        <v>46</v>
      </c>
      <c r="F21" s="44" t="n">
        <v>25</v>
      </c>
      <c r="G21" s="45" t="n">
        <v>0.5435</v>
      </c>
      <c r="H21" s="53" t="n">
        <v>94.5</v>
      </c>
      <c r="I21" s="24" t="inlineStr">
        <is>
          <t>Crítico</t>
        </is>
      </c>
      <c r="J21" s="45" t="n">
        <v>0.4957</v>
      </c>
      <c r="K21" s="45" t="n">
        <v>0.3665</v>
      </c>
      <c r="L21" s="45" t="n">
        <v>0.6251</v>
      </c>
      <c r="M21" s="24" t="inlineStr">
        <is>
          <t>P1</t>
        </is>
      </c>
    </row>
    <row r="22">
      <c r="A22" s="50" t="n">
        <v>5</v>
      </c>
      <c r="B22" s="50" t="inlineStr">
        <is>
          <t>3141025</t>
        </is>
      </c>
      <c r="C22" s="41" t="inlineStr">
        <is>
          <t>Sistemas Integrados de Gestión</t>
        </is>
      </c>
      <c r="D22" s="41" t="inlineStr">
        <is>
          <t>NOCTURNA</t>
        </is>
      </c>
      <c r="E22" s="42" t="n">
        <v>31</v>
      </c>
      <c r="F22" s="42" t="n">
        <v>17</v>
      </c>
      <c r="G22" s="43" t="n">
        <v>0.5484</v>
      </c>
      <c r="H22" s="54" t="n">
        <v>92.7</v>
      </c>
      <c r="I22" s="41" t="inlineStr">
        <is>
          <t>Crítico</t>
        </is>
      </c>
      <c r="J22" s="43" t="n">
        <v>0.4819</v>
      </c>
      <c r="K22" s="43" t="n">
        <v>0.3324</v>
      </c>
      <c r="L22" s="43" t="n">
        <v>0.633</v>
      </c>
      <c r="M22" s="41" t="inlineStr">
        <is>
          <t>P1</t>
        </is>
      </c>
    </row>
    <row r="23">
      <c r="A23" s="48" t="n">
        <v>6</v>
      </c>
      <c r="B23" s="48" t="inlineStr">
        <is>
          <t>3302143</t>
        </is>
      </c>
      <c r="C23" s="24" t="inlineStr">
        <is>
          <t>Sistemas Integrados de Gestión</t>
        </is>
      </c>
      <c r="D23" s="24" t="inlineStr">
        <is>
          <t>DIURNA</t>
        </is>
      </c>
      <c r="E23" s="44" t="n">
        <v>39</v>
      </c>
      <c r="F23" s="44" t="n">
        <v>19</v>
      </c>
      <c r="G23" s="45" t="n">
        <v>0.4872</v>
      </c>
      <c r="H23" s="53" t="n">
        <v>90.90000000000001</v>
      </c>
      <c r="I23" s="24" t="inlineStr">
        <is>
          <t>Crítico</t>
        </is>
      </c>
      <c r="J23" s="45" t="n">
        <v>0.444</v>
      </c>
      <c r="K23" s="45" t="n">
        <v>0.3091</v>
      </c>
      <c r="L23" s="45" t="n">
        <v>0.5833</v>
      </c>
      <c r="M23" s="24" t="inlineStr">
        <is>
          <t>P1</t>
        </is>
      </c>
    </row>
    <row r="24">
      <c r="A24" s="50" t="n">
        <v>7</v>
      </c>
      <c r="B24" s="50" t="inlineStr">
        <is>
          <t>3179876</t>
        </is>
      </c>
      <c r="C24" s="41" t="inlineStr">
        <is>
          <t>Gestión de Proyectos</t>
        </is>
      </c>
      <c r="D24" s="41" t="inlineStr">
        <is>
          <t>NOCTURNA</t>
        </is>
      </c>
      <c r="E24" s="42" t="n">
        <v>26</v>
      </c>
      <c r="F24" s="42" t="n">
        <v>13</v>
      </c>
      <c r="G24" s="43" t="n">
        <v>0.5</v>
      </c>
      <c r="H24" s="54" t="n">
        <v>89.09999999999999</v>
      </c>
      <c r="I24" s="41" t="inlineStr">
        <is>
          <t>Alto</t>
        </is>
      </c>
      <c r="J24" s="43" t="n">
        <v>0.4377</v>
      </c>
      <c r="K24" s="43" t="n">
        <v>0.2822</v>
      </c>
      <c r="L24" s="43" t="n">
        <v>0.5998</v>
      </c>
      <c r="M24" s="41" t="inlineStr">
        <is>
          <t>P2</t>
        </is>
      </c>
    </row>
    <row r="25">
      <c r="A25" s="48" t="n">
        <v>8</v>
      </c>
      <c r="B25" s="48" t="inlineStr">
        <is>
          <t>3350110</t>
        </is>
      </c>
      <c r="C25" s="24" t="inlineStr">
        <is>
          <t>Componentes Mecánicos</t>
        </is>
      </c>
      <c r="D25" s="24" t="inlineStr">
        <is>
          <t>NOCTURNA</t>
        </is>
      </c>
      <c r="E25" s="44" t="n">
        <v>24</v>
      </c>
      <c r="F25" s="44" t="n">
        <v>12</v>
      </c>
      <c r="G25" s="45" t="n">
        <v>0.5</v>
      </c>
      <c r="H25" s="53" t="n">
        <v>87.3</v>
      </c>
      <c r="I25" s="24" t="inlineStr">
        <is>
          <t>Alto</t>
        </is>
      </c>
      <c r="J25" s="45" t="n">
        <v>0.434</v>
      </c>
      <c r="K25" s="45" t="n">
        <v>0.2746</v>
      </c>
      <c r="L25" s="45" t="n">
        <v>0.6008</v>
      </c>
      <c r="M25" s="24" t="inlineStr">
        <is>
          <t>P2</t>
        </is>
      </c>
    </row>
    <row r="26">
      <c r="A26" s="50" t="n">
        <v>9</v>
      </c>
      <c r="B26" s="50" t="inlineStr">
        <is>
          <t>3350113</t>
        </is>
      </c>
      <c r="C26" s="41" t="inlineStr">
        <is>
          <t>Moldes y Troqueles</t>
        </is>
      </c>
      <c r="D26" s="41" t="inlineStr">
        <is>
          <t>NOCTURNA</t>
        </is>
      </c>
      <c r="E26" s="42" t="n">
        <v>27</v>
      </c>
      <c r="F26" s="42" t="n">
        <v>13</v>
      </c>
      <c r="G26" s="43" t="n">
        <v>0.4815</v>
      </c>
      <c r="H26" s="54" t="n">
        <v>85.5</v>
      </c>
      <c r="I26" s="41" t="inlineStr">
        <is>
          <t>Alto</t>
        </is>
      </c>
      <c r="J26" s="43" t="n">
        <v>0.4259</v>
      </c>
      <c r="K26" s="43" t="n">
        <v>0.2734</v>
      </c>
      <c r="L26" s="43" t="n">
        <v>0.5859</v>
      </c>
      <c r="M26" s="41" t="inlineStr">
        <is>
          <t>P2</t>
        </is>
      </c>
    </row>
    <row r="27">
      <c r="A27" s="48" t="n">
        <v>10</v>
      </c>
      <c r="B27" s="48" t="inlineStr">
        <is>
          <t>3171643</t>
        </is>
      </c>
      <c r="C27" s="24" t="inlineStr">
        <is>
          <t>Análisis de Materiales</t>
        </is>
      </c>
      <c r="D27" s="24" t="inlineStr">
        <is>
          <t>DIURNA</t>
        </is>
      </c>
      <c r="E27" s="44" t="n">
        <v>18</v>
      </c>
      <c r="F27" s="44" t="n">
        <v>9</v>
      </c>
      <c r="G27" s="45" t="n">
        <v>0.5</v>
      </c>
      <c r="H27" s="53" t="n">
        <v>83.59999999999999</v>
      </c>
      <c r="I27" s="24" t="inlineStr">
        <is>
          <t>Alto</t>
        </is>
      </c>
      <c r="J27" s="45" t="n">
        <v>0.4199</v>
      </c>
      <c r="K27" s="45" t="n">
        <v>0.2472</v>
      </c>
      <c r="L27" s="45" t="n">
        <v>0.6035</v>
      </c>
      <c r="M27" s="24" t="inlineStr">
        <is>
          <t>P2</t>
        </is>
      </c>
    </row>
    <row r="28">
      <c r="A28" s="50" t="n">
        <v>11</v>
      </c>
      <c r="B28" s="50" t="inlineStr">
        <is>
          <t>3179887</t>
        </is>
      </c>
      <c r="C28" s="41" t="inlineStr">
        <is>
          <t>Producción Industrial</t>
        </is>
      </c>
      <c r="D28" s="41" t="inlineStr">
        <is>
          <t>NOCTURNA</t>
        </is>
      </c>
      <c r="E28" s="42" t="n">
        <v>30</v>
      </c>
      <c r="F28" s="42" t="n">
        <v>14</v>
      </c>
      <c r="G28" s="43" t="n">
        <v>0.4667</v>
      </c>
      <c r="H28" s="54" t="n">
        <v>80.90000000000001</v>
      </c>
      <c r="I28" s="41" t="inlineStr">
        <is>
          <t>Alto</t>
        </is>
      </c>
      <c r="J28" s="43" t="n">
        <v>0.4189</v>
      </c>
      <c r="K28" s="43" t="n">
        <v>0.2726</v>
      </c>
      <c r="L28" s="43" t="n">
        <v>0.5729</v>
      </c>
      <c r="M28" s="41" t="inlineStr">
        <is>
          <t>P2</t>
        </is>
      </c>
    </row>
    <row r="29">
      <c r="A29" s="48" t="n">
        <v>12</v>
      </c>
      <c r="B29" s="48" t="inlineStr">
        <is>
          <t>3302147</t>
        </is>
      </c>
      <c r="C29" s="24" t="inlineStr">
        <is>
          <t>Gestión de Proyectos</t>
        </is>
      </c>
      <c r="D29" s="24" t="inlineStr">
        <is>
          <t>DIURNA</t>
        </is>
      </c>
      <c r="E29" s="44" t="n">
        <v>30</v>
      </c>
      <c r="F29" s="44" t="n">
        <v>14</v>
      </c>
      <c r="G29" s="45" t="n">
        <v>0.4667</v>
      </c>
      <c r="H29" s="53" t="n">
        <v>80.90000000000001</v>
      </c>
      <c r="I29" s="24" t="inlineStr">
        <is>
          <t>Alto</t>
        </is>
      </c>
      <c r="J29" s="45" t="n">
        <v>0.4189</v>
      </c>
      <c r="K29" s="45" t="n">
        <v>0.2726</v>
      </c>
      <c r="L29" s="45" t="n">
        <v>0.5729</v>
      </c>
      <c r="M29" s="24" t="inlineStr">
        <is>
          <t>P2</t>
        </is>
      </c>
    </row>
    <row r="30">
      <c r="A30" s="50" t="n">
        <v>13</v>
      </c>
      <c r="B30" s="50" t="inlineStr">
        <is>
          <t>3409328</t>
        </is>
      </c>
      <c r="C30" s="41" t="inlineStr">
        <is>
          <t>Procedimientos de Laboratorio</t>
        </is>
      </c>
      <c r="D30" s="41" t="inlineStr">
        <is>
          <t>DIURNA</t>
        </is>
      </c>
      <c r="E30" s="42" t="n">
        <v>14</v>
      </c>
      <c r="F30" s="42" t="n">
        <v>7</v>
      </c>
      <c r="G30" s="43" t="n">
        <v>0.5</v>
      </c>
      <c r="H30" s="54" t="n">
        <v>78.2</v>
      </c>
      <c r="I30" s="41" t="inlineStr">
        <is>
          <t>Alto</t>
        </is>
      </c>
      <c r="J30" s="43" t="n">
        <v>0.4066</v>
      </c>
      <c r="K30" s="43" t="n">
        <v>0.2233</v>
      </c>
      <c r="L30" s="43" t="n">
        <v>0.6046</v>
      </c>
      <c r="M30" s="41" t="inlineStr">
        <is>
          <t>P2</t>
        </is>
      </c>
    </row>
    <row r="31">
      <c r="A31" s="48" t="n">
        <v>14</v>
      </c>
      <c r="B31" s="48" t="inlineStr">
        <is>
          <t>3171542</t>
        </is>
      </c>
      <c r="C31" s="24" t="inlineStr">
        <is>
          <t>Sistemas Integrados de Gestión</t>
        </is>
      </c>
      <c r="D31" s="24" t="inlineStr">
        <is>
          <t>DIURNA</t>
        </is>
      </c>
      <c r="E31" s="44" t="n">
        <v>39</v>
      </c>
      <c r="F31" s="44" t="n">
        <v>17</v>
      </c>
      <c r="G31" s="45" t="n">
        <v>0.4359</v>
      </c>
      <c r="H31" s="53" t="n">
        <v>76.40000000000001</v>
      </c>
      <c r="I31" s="24" t="inlineStr">
        <is>
          <t>Alto</t>
        </is>
      </c>
      <c r="J31" s="45" t="n">
        <v>0.4032</v>
      </c>
      <c r="K31" s="45" t="n">
        <v>0.2716</v>
      </c>
      <c r="L31" s="45" t="n">
        <v>0.5423</v>
      </c>
      <c r="M31" s="24" t="inlineStr">
        <is>
          <t>P2</t>
        </is>
      </c>
    </row>
    <row r="32">
      <c r="A32" s="50" t="n">
        <v>15</v>
      </c>
      <c r="B32" s="50" t="inlineStr">
        <is>
          <t>3141029</t>
        </is>
      </c>
      <c r="C32" s="41" t="inlineStr">
        <is>
          <t>Gestión de Proyectos</t>
        </is>
      </c>
      <c r="D32" s="41" t="inlineStr">
        <is>
          <t>NOCTURNA</t>
        </is>
      </c>
      <c r="E32" s="42" t="n">
        <v>30</v>
      </c>
      <c r="F32" s="42" t="n">
        <v>13</v>
      </c>
      <c r="G32" s="43" t="n">
        <v>0.4333</v>
      </c>
      <c r="H32" s="54" t="n">
        <v>74.5</v>
      </c>
      <c r="I32" s="41" t="inlineStr">
        <is>
          <t>Medio</t>
        </is>
      </c>
      <c r="J32" s="43" t="n">
        <v>0.3939</v>
      </c>
      <c r="K32" s="43" t="n">
        <v>0.2503</v>
      </c>
      <c r="L32" s="43" t="n">
        <v>0.5476</v>
      </c>
      <c r="M32" s="41" t="inlineStr">
        <is>
          <t>P3</t>
        </is>
      </c>
    </row>
    <row r="33">
      <c r="A33" s="48" t="n">
        <v>16</v>
      </c>
      <c r="B33" s="48" t="inlineStr">
        <is>
          <t>3350115</t>
        </is>
      </c>
      <c r="C33" s="24" t="inlineStr">
        <is>
          <t>Modelado de Productos</t>
        </is>
      </c>
      <c r="D33" s="24" t="inlineStr">
        <is>
          <t>DIURNA</t>
        </is>
      </c>
      <c r="E33" s="44" t="n">
        <v>23</v>
      </c>
      <c r="F33" s="44" t="n">
        <v>10</v>
      </c>
      <c r="G33" s="45" t="n">
        <v>0.4348</v>
      </c>
      <c r="H33" s="53" t="n">
        <v>72.7</v>
      </c>
      <c r="I33" s="24" t="inlineStr">
        <is>
          <t>Medio</t>
        </is>
      </c>
      <c r="J33" s="45" t="n">
        <v>0.3866</v>
      </c>
      <c r="K33" s="45" t="n">
        <v>0.2306</v>
      </c>
      <c r="L33" s="45" t="n">
        <v>0.5556</v>
      </c>
      <c r="M33" s="24" t="inlineStr">
        <is>
          <t>P3</t>
        </is>
      </c>
    </row>
    <row r="34">
      <c r="A34" s="50" t="n">
        <v>17</v>
      </c>
      <c r="B34" s="50" t="inlineStr">
        <is>
          <t>3179874</t>
        </is>
      </c>
      <c r="C34" s="41" t="inlineStr">
        <is>
          <t>Química Aplicada</t>
        </is>
      </c>
      <c r="D34" s="41" t="inlineStr">
        <is>
          <t>DIURNA</t>
        </is>
      </c>
      <c r="E34" s="42" t="n">
        <v>29</v>
      </c>
      <c r="F34" s="42" t="n">
        <v>12</v>
      </c>
      <c r="G34" s="43" t="n">
        <v>0.4138</v>
      </c>
      <c r="H34" s="54" t="n">
        <v>70.90000000000001</v>
      </c>
      <c r="I34" s="41" t="inlineStr">
        <is>
          <t>Medio</t>
        </is>
      </c>
      <c r="J34" s="43" t="n">
        <v>0.3784</v>
      </c>
      <c r="K34" s="43" t="n">
        <v>0.2349</v>
      </c>
      <c r="L34" s="43" t="n">
        <v>0.5337</v>
      </c>
      <c r="M34" s="41" t="inlineStr">
        <is>
          <t>P3</t>
        </is>
      </c>
    </row>
    <row r="35">
      <c r="A35" s="48" t="n">
        <v>18</v>
      </c>
      <c r="B35" s="48" t="inlineStr">
        <is>
          <t>3237684</t>
        </is>
      </c>
      <c r="C35" s="24" t="inlineStr">
        <is>
          <t>Química Aplicada</t>
        </is>
      </c>
      <c r="D35" s="24" t="inlineStr">
        <is>
          <t>DIURNA</t>
        </is>
      </c>
      <c r="E35" s="44" t="n">
        <v>24</v>
      </c>
      <c r="F35" s="44" t="n">
        <v>10</v>
      </c>
      <c r="G35" s="45" t="n">
        <v>0.4167</v>
      </c>
      <c r="H35" s="53" t="n">
        <v>69.09999999999999</v>
      </c>
      <c r="I35" s="24" t="inlineStr">
        <is>
          <t>Medio</t>
        </is>
      </c>
      <c r="J35" s="45" t="n">
        <v>0.3752</v>
      </c>
      <c r="K35" s="45" t="n">
        <v>0.2229</v>
      </c>
      <c r="L35" s="45" t="n">
        <v>0.5414</v>
      </c>
      <c r="M35" s="24" t="inlineStr">
        <is>
          <t>P3</t>
        </is>
      </c>
    </row>
    <row r="36">
      <c r="A36" s="50" t="n">
        <v>19</v>
      </c>
      <c r="B36" s="50" t="inlineStr">
        <is>
          <t>3145900</t>
        </is>
      </c>
      <c r="C36" s="41" t="inlineStr">
        <is>
          <t>Gestión de Proyectos</t>
        </is>
      </c>
      <c r="D36" s="41" t="inlineStr">
        <is>
          <t>NOCTURNA</t>
        </is>
      </c>
      <c r="E36" s="42" t="n">
        <v>30</v>
      </c>
      <c r="F36" s="42" t="n">
        <v>12</v>
      </c>
      <c r="G36" s="43" t="n">
        <v>0.4</v>
      </c>
      <c r="H36" s="54" t="n">
        <v>67.3</v>
      </c>
      <c r="I36" s="41" t="inlineStr">
        <is>
          <t>Medio</t>
        </is>
      </c>
      <c r="J36" s="43" t="n">
        <v>0.3689</v>
      </c>
      <c r="K36" s="43" t="n">
        <v>0.2284</v>
      </c>
      <c r="L36" s="43" t="n">
        <v>0.5219</v>
      </c>
      <c r="M36" s="41" t="inlineStr">
        <is>
          <t>P3</t>
        </is>
      </c>
    </row>
    <row r="37">
      <c r="A37" s="48" t="n">
        <v>20</v>
      </c>
      <c r="B37" s="48" t="inlineStr">
        <is>
          <t>3181490</t>
        </is>
      </c>
      <c r="C37" s="24" t="inlineStr">
        <is>
          <t>Modelado de Productos</t>
        </is>
      </c>
      <c r="D37" s="24" t="inlineStr">
        <is>
          <t>DIURNA</t>
        </is>
      </c>
      <c r="E37" s="44" t="n">
        <v>19</v>
      </c>
      <c r="F37" s="44" t="n">
        <v>7</v>
      </c>
      <c r="G37" s="45" t="n">
        <v>0.3684</v>
      </c>
      <c r="H37" s="53" t="n">
        <v>64.5</v>
      </c>
      <c r="I37" s="24" t="inlineStr">
        <is>
          <t>Medio</t>
        </is>
      </c>
      <c r="J37" s="45" t="n">
        <v>0.3365</v>
      </c>
      <c r="K37" s="45" t="n">
        <v>0.1796</v>
      </c>
      <c r="L37" s="45" t="n">
        <v>0.5147</v>
      </c>
      <c r="M37" s="24" t="inlineStr">
        <is>
          <t>P3</t>
        </is>
      </c>
    </row>
    <row r="38">
      <c r="A38" s="50" t="n">
        <v>21</v>
      </c>
      <c r="B38" s="50" t="inlineStr">
        <is>
          <t>3406050</t>
        </is>
      </c>
      <c r="C38" s="41" t="inlineStr">
        <is>
          <t>Productos Plásticos</t>
        </is>
      </c>
      <c r="D38" s="41" t="inlineStr">
        <is>
          <t>NOCTURNA</t>
        </is>
      </c>
      <c r="E38" s="42" t="n">
        <v>19</v>
      </c>
      <c r="F38" s="42" t="n">
        <v>7</v>
      </c>
      <c r="G38" s="43" t="n">
        <v>0.3684</v>
      </c>
      <c r="H38" s="54" t="n">
        <v>64.5</v>
      </c>
      <c r="I38" s="41" t="inlineStr">
        <is>
          <t>Medio</t>
        </is>
      </c>
      <c r="J38" s="43" t="n">
        <v>0.3365</v>
      </c>
      <c r="K38" s="43" t="n">
        <v>0.1796</v>
      </c>
      <c r="L38" s="43" t="n">
        <v>0.5147</v>
      </c>
      <c r="M38" s="41" t="inlineStr">
        <is>
          <t>P3</t>
        </is>
      </c>
    </row>
    <row r="39">
      <c r="A39" s="48" t="n">
        <v>22</v>
      </c>
      <c r="B39" s="48" t="inlineStr">
        <is>
          <t>3442110</t>
        </is>
      </c>
      <c r="C39" s="24" t="inlineStr">
        <is>
          <t>Modelado 3D</t>
        </is>
      </c>
      <c r="D39" s="24" t="inlineStr">
        <is>
          <t>DIURNA</t>
        </is>
      </c>
      <c r="E39" s="44" t="n">
        <v>26</v>
      </c>
      <c r="F39" s="44" t="n">
        <v>9</v>
      </c>
      <c r="G39" s="45" t="n">
        <v>0.3462</v>
      </c>
      <c r="H39" s="53" t="n">
        <v>61.8</v>
      </c>
      <c r="I39" s="24" t="inlineStr">
        <is>
          <t>Medio</t>
        </is>
      </c>
      <c r="J39" s="45" t="n">
        <v>0.3266</v>
      </c>
      <c r="K39" s="45" t="n">
        <v>0.1857</v>
      </c>
      <c r="L39" s="45" t="n">
        <v>0.4857</v>
      </c>
      <c r="M39" s="24" t="inlineStr">
        <is>
          <t>P3</t>
        </is>
      </c>
    </row>
    <row r="40">
      <c r="A40" s="50" t="n">
        <v>23</v>
      </c>
      <c r="B40" s="50" t="inlineStr">
        <is>
          <t>3406496</t>
        </is>
      </c>
      <c r="C40" s="41" t="inlineStr">
        <is>
          <t>Sistemas Integrados de Gestión</t>
        </is>
      </c>
      <c r="D40" s="41" t="inlineStr">
        <is>
          <t>DIURNA</t>
        </is>
      </c>
      <c r="E40" s="42" t="n">
        <v>21</v>
      </c>
      <c r="F40" s="42" t="n">
        <v>7</v>
      </c>
      <c r="G40" s="43" t="n">
        <v>0.3333</v>
      </c>
      <c r="H40" s="54" t="n">
        <v>60</v>
      </c>
      <c r="I40" s="41" t="inlineStr">
        <is>
          <t>Medio</t>
        </is>
      </c>
      <c r="J40" s="43" t="n">
        <v>0.3148</v>
      </c>
      <c r="K40" s="43" t="n">
        <v>0.1666</v>
      </c>
      <c r="L40" s="43" t="n">
        <v>0.4855</v>
      </c>
      <c r="M40" s="41" t="inlineStr">
        <is>
          <t>P3</t>
        </is>
      </c>
    </row>
    <row r="41">
      <c r="A41" s="48" t="n">
        <v>24</v>
      </c>
      <c r="B41" s="48" t="inlineStr">
        <is>
          <t>3411432</t>
        </is>
      </c>
      <c r="C41" s="24" t="inlineStr">
        <is>
          <t>Monitoreo Ambiental</t>
        </is>
      </c>
      <c r="D41" s="24" t="inlineStr">
        <is>
          <t>DIURNA</t>
        </is>
      </c>
      <c r="E41" s="44" t="n">
        <v>50</v>
      </c>
      <c r="F41" s="44" t="n">
        <v>16</v>
      </c>
      <c r="G41" s="45" t="n">
        <v>0.32</v>
      </c>
      <c r="H41" s="53" t="n">
        <v>58.2</v>
      </c>
      <c r="I41" s="24" t="inlineStr">
        <is>
          <t>Medio</t>
        </is>
      </c>
      <c r="J41" s="45" t="n">
        <v>0.3126</v>
      </c>
      <c r="K41" s="45" t="n">
        <v>0.2027</v>
      </c>
      <c r="L41" s="45" t="n">
        <v>0.4343</v>
      </c>
      <c r="M41" s="24" t="inlineStr">
        <is>
          <t>P3</t>
        </is>
      </c>
    </row>
    <row r="42">
      <c r="A42" s="50" t="n">
        <v>25</v>
      </c>
      <c r="B42" s="50" t="inlineStr">
        <is>
          <t>3179885</t>
        </is>
      </c>
      <c r="C42" s="41" t="inlineStr">
        <is>
          <t>Sistemas Integrados de Gestión</t>
        </is>
      </c>
      <c r="D42" s="41" t="inlineStr">
        <is>
          <t>DIURNA</t>
        </is>
      </c>
      <c r="E42" s="42" t="n">
        <v>33</v>
      </c>
      <c r="F42" s="42" t="n">
        <v>10</v>
      </c>
      <c r="G42" s="43" t="n">
        <v>0.303</v>
      </c>
      <c r="H42" s="54" t="n">
        <v>55.5</v>
      </c>
      <c r="I42" s="41" t="inlineStr">
        <is>
          <t>Medio</t>
        </is>
      </c>
      <c r="J42" s="43" t="n">
        <v>0.2967</v>
      </c>
      <c r="K42" s="43" t="n">
        <v>0.1716</v>
      </c>
      <c r="L42" s="43" t="n">
        <v>0.4397</v>
      </c>
      <c r="M42" s="41" t="inlineStr">
        <is>
          <t>P3</t>
        </is>
      </c>
    </row>
    <row r="43">
      <c r="A43" s="48" t="n">
        <v>26</v>
      </c>
      <c r="B43" s="48" t="inlineStr">
        <is>
          <t>3442189</t>
        </is>
      </c>
      <c r="C43" s="24" t="inlineStr">
        <is>
          <t>Producción Industrial</t>
        </is>
      </c>
      <c r="D43" s="24" t="inlineStr">
        <is>
          <t>DIURNA</t>
        </is>
      </c>
      <c r="E43" s="44" t="n">
        <v>33</v>
      </c>
      <c r="F43" s="44" t="n">
        <v>10</v>
      </c>
      <c r="G43" s="45" t="n">
        <v>0.303</v>
      </c>
      <c r="H43" s="53" t="n">
        <v>55.5</v>
      </c>
      <c r="I43" s="24" t="inlineStr">
        <is>
          <t>Medio</t>
        </is>
      </c>
      <c r="J43" s="45" t="n">
        <v>0.2967</v>
      </c>
      <c r="K43" s="45" t="n">
        <v>0.1716</v>
      </c>
      <c r="L43" s="45" t="n">
        <v>0.4397</v>
      </c>
      <c r="M43" s="24" t="inlineStr">
        <is>
          <t>P3</t>
        </is>
      </c>
    </row>
    <row r="44">
      <c r="A44" s="50" t="n">
        <v>27</v>
      </c>
      <c r="B44" s="50" t="inlineStr">
        <is>
          <t>3171560</t>
        </is>
      </c>
      <c r="C44" s="41" t="inlineStr">
        <is>
          <t>Gestión de Proyectos</t>
        </is>
      </c>
      <c r="D44" s="41" t="inlineStr">
        <is>
          <t>DIURNA</t>
        </is>
      </c>
      <c r="E44" s="42" t="n">
        <v>26</v>
      </c>
      <c r="F44" s="42" t="n">
        <v>7</v>
      </c>
      <c r="G44" s="43" t="n">
        <v>0.2692</v>
      </c>
      <c r="H44" s="54" t="n">
        <v>51.8</v>
      </c>
      <c r="I44" s="41" t="inlineStr">
        <is>
          <t>Medio</t>
        </is>
      </c>
      <c r="J44" s="43" t="n">
        <v>0.271</v>
      </c>
      <c r="K44" s="43" t="n">
        <v>0.1411</v>
      </c>
      <c r="L44" s="43" t="n">
        <v>0.4251</v>
      </c>
      <c r="M44" s="41" t="inlineStr">
        <is>
          <t>P3</t>
        </is>
      </c>
    </row>
    <row r="45">
      <c r="A45" s="48" t="n">
        <v>28</v>
      </c>
      <c r="B45" s="48" t="inlineStr">
        <is>
          <t>3411424</t>
        </is>
      </c>
      <c r="C45" s="24" t="inlineStr">
        <is>
          <t>Modelado 3D</t>
        </is>
      </c>
      <c r="D45" s="24" t="inlineStr">
        <is>
          <t>DIURNA</t>
        </is>
      </c>
      <c r="E45" s="44" t="n">
        <v>26</v>
      </c>
      <c r="F45" s="44" t="n">
        <v>7</v>
      </c>
      <c r="G45" s="45" t="n">
        <v>0.2692</v>
      </c>
      <c r="H45" s="53" t="n">
        <v>51.8</v>
      </c>
      <c r="I45" s="24" t="inlineStr">
        <is>
          <t>Medio</t>
        </is>
      </c>
      <c r="J45" s="45" t="n">
        <v>0.271</v>
      </c>
      <c r="K45" s="45" t="n">
        <v>0.1411</v>
      </c>
      <c r="L45" s="45" t="n">
        <v>0.4251</v>
      </c>
      <c r="M45" s="24" t="inlineStr">
        <is>
          <t>P3</t>
        </is>
      </c>
    </row>
    <row r="46">
      <c r="A46" s="50" t="n">
        <v>29</v>
      </c>
      <c r="B46" s="50" t="inlineStr">
        <is>
          <t>3411434</t>
        </is>
      </c>
      <c r="C46" s="41" t="inlineStr">
        <is>
          <t>Componentes Mecánicos</t>
        </is>
      </c>
      <c r="D46" s="41" t="inlineStr">
        <is>
          <t>NOCTURNA</t>
        </is>
      </c>
      <c r="E46" s="42" t="n">
        <v>30</v>
      </c>
      <c r="F46" s="42" t="n">
        <v>8</v>
      </c>
      <c r="G46" s="43" t="n">
        <v>0.2667</v>
      </c>
      <c r="H46" s="54" t="n">
        <v>48.2</v>
      </c>
      <c r="I46" s="41" t="inlineStr">
        <is>
          <t>Bajo</t>
        </is>
      </c>
      <c r="J46" s="43" t="n">
        <v>0.2689</v>
      </c>
      <c r="K46" s="43" t="n">
        <v>0.1452</v>
      </c>
      <c r="L46" s="43" t="n">
        <v>0.4145</v>
      </c>
      <c r="M46" s="41" t="inlineStr">
        <is>
          <t>P4</t>
        </is>
      </c>
    </row>
    <row r="47">
      <c r="A47" s="48" t="n">
        <v>30</v>
      </c>
      <c r="B47" s="48" t="inlineStr">
        <is>
          <t>3411446</t>
        </is>
      </c>
      <c r="C47" s="24" t="inlineStr">
        <is>
          <t>Sistemas Integrados de Gestión</t>
        </is>
      </c>
      <c r="D47" s="24" t="inlineStr">
        <is>
          <t>NOCTURNA</t>
        </is>
      </c>
      <c r="E47" s="44" t="n">
        <v>30</v>
      </c>
      <c r="F47" s="44" t="n">
        <v>8</v>
      </c>
      <c r="G47" s="45" t="n">
        <v>0.2667</v>
      </c>
      <c r="H47" s="53" t="n">
        <v>48.2</v>
      </c>
      <c r="I47" s="24" t="inlineStr">
        <is>
          <t>Bajo</t>
        </is>
      </c>
      <c r="J47" s="45" t="n">
        <v>0.2689</v>
      </c>
      <c r="K47" s="45" t="n">
        <v>0.1452</v>
      </c>
      <c r="L47" s="45" t="n">
        <v>0.4145</v>
      </c>
      <c r="M47" s="24" t="inlineStr">
        <is>
          <t>P4</t>
        </is>
      </c>
    </row>
    <row r="48">
      <c r="A48" s="50" t="n">
        <v>31</v>
      </c>
      <c r="B48" s="50" t="inlineStr">
        <is>
          <t>3442186</t>
        </is>
      </c>
      <c r="C48" s="41" t="inlineStr">
        <is>
          <t>Sistemas Integrados de Gestión</t>
        </is>
      </c>
      <c r="D48" s="41" t="inlineStr">
        <is>
          <t>NOCTURNA</t>
        </is>
      </c>
      <c r="E48" s="42" t="n">
        <v>35</v>
      </c>
      <c r="F48" s="42" t="n">
        <v>9</v>
      </c>
      <c r="G48" s="43" t="n">
        <v>0.2571</v>
      </c>
      <c r="H48" s="54" t="n">
        <v>45.5</v>
      </c>
      <c r="I48" s="41" t="inlineStr">
        <is>
          <t>Bajo</t>
        </is>
      </c>
      <c r="J48" s="43" t="n">
        <v>0.2613</v>
      </c>
      <c r="K48" s="43" t="n">
        <v>0.1453</v>
      </c>
      <c r="L48" s="43" t="n">
        <v>0.3974</v>
      </c>
      <c r="M48" s="41" t="inlineStr">
        <is>
          <t>P4</t>
        </is>
      </c>
    </row>
    <row r="49">
      <c r="A49" s="48" t="n">
        <v>32</v>
      </c>
      <c r="B49" s="48" t="inlineStr">
        <is>
          <t>3406053</t>
        </is>
      </c>
      <c r="C49" s="24" t="inlineStr">
        <is>
          <t>Análisis de Materiales</t>
        </is>
      </c>
      <c r="D49" s="24" t="inlineStr">
        <is>
          <t>DIURNA</t>
        </is>
      </c>
      <c r="E49" s="44" t="n">
        <v>20</v>
      </c>
      <c r="F49" s="44" t="n">
        <v>5</v>
      </c>
      <c r="G49" s="45" t="n">
        <v>0.25</v>
      </c>
      <c r="H49" s="53" t="n">
        <v>43.6</v>
      </c>
      <c r="I49" s="24" t="inlineStr">
        <is>
          <t>Bajo</t>
        </is>
      </c>
      <c r="J49" s="45" t="n">
        <v>0.2586</v>
      </c>
      <c r="K49" s="45" t="n">
        <v>0.1213</v>
      </c>
      <c r="L49" s="45" t="n">
        <v>0.4263</v>
      </c>
      <c r="M49" s="24" t="inlineStr">
        <is>
          <t>P4</t>
        </is>
      </c>
    </row>
    <row r="50">
      <c r="A50" s="50" t="n">
        <v>33</v>
      </c>
      <c r="B50" s="50" t="inlineStr">
        <is>
          <t>3412291</t>
        </is>
      </c>
      <c r="C50" s="41" t="inlineStr">
        <is>
          <t>Gestión de Proyectos</t>
        </is>
      </c>
      <c r="D50" s="41" t="inlineStr">
        <is>
          <t>DIURNA</t>
        </is>
      </c>
      <c r="E50" s="42" t="n">
        <v>25</v>
      </c>
      <c r="F50" s="42" t="n">
        <v>6</v>
      </c>
      <c r="G50" s="43" t="n">
        <v>0.24</v>
      </c>
      <c r="H50" s="54" t="n">
        <v>41.8</v>
      </c>
      <c r="I50" s="41" t="inlineStr">
        <is>
          <t>Bajo</t>
        </is>
      </c>
      <c r="J50" s="43" t="n">
        <v>0.2502</v>
      </c>
      <c r="K50" s="43" t="n">
        <v>0.1236</v>
      </c>
      <c r="L50" s="43" t="n">
        <v>0.4039</v>
      </c>
      <c r="M50" s="41" t="inlineStr">
        <is>
          <t>P4</t>
        </is>
      </c>
    </row>
    <row r="51">
      <c r="A51" s="48" t="n">
        <v>34</v>
      </c>
      <c r="B51" s="48" t="inlineStr">
        <is>
          <t>3412095</t>
        </is>
      </c>
      <c r="C51" s="24" t="inlineStr">
        <is>
          <t>Producción Industrial</t>
        </is>
      </c>
      <c r="D51" s="24" t="inlineStr">
        <is>
          <t>NOCTURNA</t>
        </is>
      </c>
      <c r="E51" s="44" t="n">
        <v>30</v>
      </c>
      <c r="F51" s="44" t="n">
        <v>7</v>
      </c>
      <c r="G51" s="45" t="n">
        <v>0.2333</v>
      </c>
      <c r="H51" s="53" t="n">
        <v>40</v>
      </c>
      <c r="I51" s="24" t="inlineStr">
        <is>
          <t>Bajo</t>
        </is>
      </c>
      <c r="J51" s="45" t="n">
        <v>0.2439</v>
      </c>
      <c r="K51" s="45" t="n">
        <v>0.1257</v>
      </c>
      <c r="L51" s="45" t="n">
        <v>0.3864</v>
      </c>
      <c r="M51" s="24" t="inlineStr">
        <is>
          <t>P4</t>
        </is>
      </c>
    </row>
    <row r="52">
      <c r="A52" s="50" t="n">
        <v>35</v>
      </c>
      <c r="B52" s="50" t="inlineStr">
        <is>
          <t>3316128</t>
        </is>
      </c>
      <c r="C52" s="41" t="inlineStr">
        <is>
          <t>Sistemas Integrados de Gestión</t>
        </is>
      </c>
      <c r="D52" s="41" t="inlineStr">
        <is>
          <t>DIURNA</t>
        </is>
      </c>
      <c r="E52" s="42" t="n">
        <v>26</v>
      </c>
      <c r="F52" s="42" t="n">
        <v>6</v>
      </c>
      <c r="G52" s="43" t="n">
        <v>0.2308</v>
      </c>
      <c r="H52" s="54" t="n">
        <v>37.3</v>
      </c>
      <c r="I52" s="41" t="inlineStr">
        <is>
          <t>Bajo</t>
        </is>
      </c>
      <c r="J52" s="43" t="n">
        <v>0.2433</v>
      </c>
      <c r="K52" s="43" t="n">
        <v>0.1198</v>
      </c>
      <c r="L52" s="43" t="n">
        <v>0.3937</v>
      </c>
      <c r="M52" s="41" t="inlineStr">
        <is>
          <t>P4</t>
        </is>
      </c>
    </row>
    <row r="53">
      <c r="A53" s="48" t="n">
        <v>36</v>
      </c>
      <c r="B53" s="48" t="inlineStr">
        <is>
          <t>3406054</t>
        </is>
      </c>
      <c r="C53" s="24" t="inlineStr">
        <is>
          <t>Moldes y Troqueles</t>
        </is>
      </c>
      <c r="D53" s="24" t="inlineStr">
        <is>
          <t>DIURNA</t>
        </is>
      </c>
      <c r="E53" s="44" t="n">
        <v>26</v>
      </c>
      <c r="F53" s="44" t="n">
        <v>6</v>
      </c>
      <c r="G53" s="45" t="n">
        <v>0.2308</v>
      </c>
      <c r="H53" s="53" t="n">
        <v>37.3</v>
      </c>
      <c r="I53" s="24" t="inlineStr">
        <is>
          <t>Bajo</t>
        </is>
      </c>
      <c r="J53" s="45" t="n">
        <v>0.2433</v>
      </c>
      <c r="K53" s="45" t="n">
        <v>0.1198</v>
      </c>
      <c r="L53" s="45" t="n">
        <v>0.3937</v>
      </c>
      <c r="M53" s="24" t="inlineStr">
        <is>
          <t>P4</t>
        </is>
      </c>
    </row>
    <row r="54">
      <c r="A54" s="50" t="n">
        <v>37</v>
      </c>
      <c r="B54" s="50" t="inlineStr">
        <is>
          <t>3442083</t>
        </is>
      </c>
      <c r="C54" s="41" t="inlineStr">
        <is>
          <t>Sistemas Integrados de Gestión</t>
        </is>
      </c>
      <c r="D54" s="41" t="inlineStr">
        <is>
          <t>DIURNA</t>
        </is>
      </c>
      <c r="E54" s="42" t="n">
        <v>32</v>
      </c>
      <c r="F54" s="42" t="n">
        <v>7</v>
      </c>
      <c r="G54" s="43" t="n">
        <v>0.2188</v>
      </c>
      <c r="H54" s="54" t="n">
        <v>34.5</v>
      </c>
      <c r="I54" s="41" t="inlineStr">
        <is>
          <t>Bajo</t>
        </is>
      </c>
      <c r="J54" s="43" t="n">
        <v>0.2323</v>
      </c>
      <c r="K54" s="43" t="n">
        <v>0.1192</v>
      </c>
      <c r="L54" s="43" t="n">
        <v>0.3695</v>
      </c>
      <c r="M54" s="41" t="inlineStr">
        <is>
          <t>P4</t>
        </is>
      </c>
    </row>
    <row r="55">
      <c r="A55" s="48" t="n">
        <v>38</v>
      </c>
      <c r="B55" s="48" t="inlineStr">
        <is>
          <t>3442119</t>
        </is>
      </c>
      <c r="C55" s="24" t="inlineStr">
        <is>
          <t>Modelado de Productos</t>
        </is>
      </c>
      <c r="D55" s="24" t="inlineStr">
        <is>
          <t>DIURNA</t>
        </is>
      </c>
      <c r="E55" s="44" t="n">
        <v>29</v>
      </c>
      <c r="F55" s="44" t="n">
        <v>6</v>
      </c>
      <c r="G55" s="45" t="n">
        <v>0.2069</v>
      </c>
      <c r="H55" s="53" t="n">
        <v>32.7</v>
      </c>
      <c r="I55" s="24" t="inlineStr">
        <is>
          <t>Bajo</t>
        </is>
      </c>
      <c r="J55" s="45" t="n">
        <v>0.2246</v>
      </c>
      <c r="K55" s="45" t="n">
        <v>0.1098</v>
      </c>
      <c r="L55" s="45" t="n">
        <v>0.366</v>
      </c>
      <c r="M55" s="24" t="inlineStr">
        <is>
          <t>P4</t>
        </is>
      </c>
    </row>
    <row r="56">
      <c r="A56" s="50" t="n">
        <v>39</v>
      </c>
      <c r="B56" s="50" t="inlineStr">
        <is>
          <t>3411438</t>
        </is>
      </c>
      <c r="C56" s="41" t="inlineStr">
        <is>
          <t>Sistemas Integrados de Gestión</t>
        </is>
      </c>
      <c r="D56" s="41" t="inlineStr">
        <is>
          <t>DIURNA</t>
        </is>
      </c>
      <c r="E56" s="42" t="n">
        <v>30</v>
      </c>
      <c r="F56" s="42" t="n">
        <v>6</v>
      </c>
      <c r="G56" s="43" t="n">
        <v>0.2</v>
      </c>
      <c r="H56" s="54" t="n">
        <v>30.9</v>
      </c>
      <c r="I56" s="41" t="inlineStr">
        <is>
          <t>Bajo</t>
        </is>
      </c>
      <c r="J56" s="43" t="n">
        <v>0.2189</v>
      </c>
      <c r="K56" s="43" t="n">
        <v>0.1068</v>
      </c>
      <c r="L56" s="43" t="n">
        <v>0.3576</v>
      </c>
      <c r="M56" s="41" t="inlineStr">
        <is>
          <t>P4</t>
        </is>
      </c>
    </row>
    <row r="57">
      <c r="A57" s="48" t="n">
        <v>40</v>
      </c>
      <c r="B57" s="48" t="inlineStr">
        <is>
          <t>3302824</t>
        </is>
      </c>
      <c r="C57" s="24" t="inlineStr">
        <is>
          <t>Producción Industrial</t>
        </is>
      </c>
      <c r="D57" s="24" t="inlineStr">
        <is>
          <t>NOCTURNA</t>
        </is>
      </c>
      <c r="E57" s="44" t="n">
        <v>31</v>
      </c>
      <c r="F57" s="44" t="n">
        <v>6</v>
      </c>
      <c r="G57" s="45" t="n">
        <v>0.1935</v>
      </c>
      <c r="H57" s="53" t="n">
        <v>29.1</v>
      </c>
      <c r="I57" s="24" t="inlineStr">
        <is>
          <t>Bajo</t>
        </is>
      </c>
      <c r="J57" s="45" t="n">
        <v>0.2136</v>
      </c>
      <c r="K57" s="45" t="n">
        <v>0.104</v>
      </c>
      <c r="L57" s="45" t="n">
        <v>0.3496</v>
      </c>
      <c r="M57" s="24" t="inlineStr">
        <is>
          <t>P4</t>
        </is>
      </c>
    </row>
    <row r="58">
      <c r="A58" s="50" t="n">
        <v>41</v>
      </c>
      <c r="B58" s="50" t="inlineStr">
        <is>
          <t>3411435</t>
        </is>
      </c>
      <c r="C58" s="41" t="inlineStr">
        <is>
          <t>Producción Industrial</t>
        </is>
      </c>
      <c r="D58" s="41" t="inlineStr">
        <is>
          <t>DIURNA</t>
        </is>
      </c>
      <c r="E58" s="42" t="n">
        <v>30</v>
      </c>
      <c r="F58" s="42" t="n">
        <v>3</v>
      </c>
      <c r="G58" s="43" t="n">
        <v>0.1</v>
      </c>
      <c r="H58" s="54" t="n">
        <v>27.3</v>
      </c>
      <c r="I58" s="41" t="inlineStr">
        <is>
          <t>Bajo</t>
        </is>
      </c>
      <c r="J58" s="43" t="n">
        <v>0.1439</v>
      </c>
      <c r="K58" s="43" t="n">
        <v>0.0547</v>
      </c>
      <c r="L58" s="43" t="n">
        <v>0.2666</v>
      </c>
      <c r="M58" s="41" t="inlineStr">
        <is>
          <t>P4</t>
        </is>
      </c>
    </row>
    <row r="59">
      <c r="A59" s="48" t="n">
        <v>42</v>
      </c>
      <c r="B59" s="48" t="inlineStr">
        <is>
          <t>3442098</t>
        </is>
      </c>
      <c r="C59" s="24" t="inlineStr">
        <is>
          <t>Sistemas Integrados de Gestión</t>
        </is>
      </c>
      <c r="D59" s="24" t="inlineStr">
        <is>
          <t>DIURNA</t>
        </is>
      </c>
      <c r="E59" s="44" t="n">
        <v>36</v>
      </c>
      <c r="F59" s="44" t="n">
        <v>3</v>
      </c>
      <c r="G59" s="45" t="n">
        <v>0.0833</v>
      </c>
      <c r="H59" s="53" t="n">
        <v>25.5</v>
      </c>
      <c r="I59" s="24" t="inlineStr">
        <is>
          <t>Bajo</t>
        </is>
      </c>
      <c r="J59" s="45" t="n">
        <v>0.1252</v>
      </c>
      <c r="K59" s="45" t="n">
        <v>0.0472</v>
      </c>
      <c r="L59" s="45" t="n">
        <v>0.2338</v>
      </c>
      <c r="M59" s="24" t="inlineStr">
        <is>
          <t>P4</t>
        </is>
      </c>
    </row>
    <row r="60">
      <c r="A60" s="50" t="n">
        <v>43</v>
      </c>
      <c r="B60" s="50" t="inlineStr">
        <is>
          <t>3433071</t>
        </is>
      </c>
      <c r="C60" s="41" t="inlineStr">
        <is>
          <t>Gestión de Proyectos</t>
        </is>
      </c>
      <c r="D60" s="41" t="inlineStr">
        <is>
          <t>NOCTURNA</t>
        </is>
      </c>
      <c r="E60" s="42" t="n">
        <v>21</v>
      </c>
      <c r="F60" s="42" t="n">
        <v>1</v>
      </c>
      <c r="G60" s="43" t="n">
        <v>0.0476</v>
      </c>
      <c r="H60" s="54" t="n">
        <v>23.6</v>
      </c>
      <c r="I60" s="41" t="inlineStr">
        <is>
          <t>Bajo</t>
        </is>
      </c>
      <c r="J60" s="43" t="n">
        <v>0.1212</v>
      </c>
      <c r="K60" s="43" t="n">
        <v>0.0333</v>
      </c>
      <c r="L60" s="43" t="n">
        <v>0.2548</v>
      </c>
      <c r="M60" s="41" t="inlineStr">
        <is>
          <t>P4</t>
        </is>
      </c>
    </row>
    <row r="61">
      <c r="A61" s="48" t="n">
        <v>44</v>
      </c>
      <c r="B61" s="48" t="inlineStr">
        <is>
          <t>3581049</t>
        </is>
      </c>
      <c r="C61" s="24" t="inlineStr">
        <is>
          <t>Alistamiento de Laboratorios</t>
        </is>
      </c>
      <c r="D61" s="24" t="inlineStr">
        <is>
          <t>DIURNA</t>
        </is>
      </c>
      <c r="E61" s="44" t="n">
        <v>18</v>
      </c>
      <c r="F61" s="44" t="n">
        <v>0</v>
      </c>
      <c r="G61" s="45" t="n">
        <v>0</v>
      </c>
      <c r="H61" s="53" t="n">
        <v>21.8</v>
      </c>
      <c r="I61" s="24" t="inlineStr">
        <is>
          <t>Bajo</t>
        </is>
      </c>
      <c r="J61" s="45" t="n">
        <v>0.0985</v>
      </c>
      <c r="K61" s="45" t="n">
        <v>0.0196</v>
      </c>
      <c r="L61" s="45" t="n">
        <v>0.2305</v>
      </c>
      <c r="M61" s="24" t="inlineStr">
        <is>
          <t>P4</t>
        </is>
      </c>
    </row>
    <row r="62">
      <c r="A62" s="50" t="n">
        <v>45</v>
      </c>
      <c r="B62" s="50" t="inlineStr">
        <is>
          <t>3451155</t>
        </is>
      </c>
      <c r="C62" s="41" t="inlineStr">
        <is>
          <t>Gestión de Proyectos</t>
        </is>
      </c>
      <c r="D62" s="41" t="inlineStr">
        <is>
          <t>DIURNA</t>
        </is>
      </c>
      <c r="E62" s="42" t="n">
        <v>23</v>
      </c>
      <c r="F62" s="42" t="n">
        <v>0</v>
      </c>
      <c r="G62" s="43" t="n">
        <v>0</v>
      </c>
      <c r="H62" s="54" t="n">
        <v>19.1</v>
      </c>
      <c r="I62" s="41" t="inlineStr">
        <is>
          <t>Bajo</t>
        </is>
      </c>
      <c r="J62" s="43" t="n">
        <v>0.08359999999999999</v>
      </c>
      <c r="K62" s="43" t="n">
        <v>0.0165</v>
      </c>
      <c r="L62" s="43" t="n">
        <v>0.1974</v>
      </c>
      <c r="M62" s="41" t="inlineStr">
        <is>
          <t>P4</t>
        </is>
      </c>
    </row>
    <row r="63">
      <c r="A63" s="48" t="n">
        <v>46</v>
      </c>
      <c r="B63" s="48" t="inlineStr">
        <is>
          <t>3566610</t>
        </is>
      </c>
      <c r="C63" s="24" t="inlineStr">
        <is>
          <t>Transformación de Polímeros</t>
        </is>
      </c>
      <c r="D63" s="24" t="inlineStr">
        <is>
          <t>DIURNA</t>
        </is>
      </c>
      <c r="E63" s="44" t="n">
        <v>23</v>
      </c>
      <c r="F63" s="44" t="n">
        <v>0</v>
      </c>
      <c r="G63" s="45" t="n">
        <v>0</v>
      </c>
      <c r="H63" s="53" t="n">
        <v>19.1</v>
      </c>
      <c r="I63" s="24" t="inlineStr">
        <is>
          <t>Bajo</t>
        </is>
      </c>
      <c r="J63" s="45" t="n">
        <v>0.08359999999999999</v>
      </c>
      <c r="K63" s="45" t="n">
        <v>0.0165</v>
      </c>
      <c r="L63" s="45" t="n">
        <v>0.1974</v>
      </c>
      <c r="M63" s="24" t="inlineStr">
        <is>
          <t>P4</t>
        </is>
      </c>
    </row>
    <row r="64">
      <c r="A64" s="50" t="n">
        <v>47</v>
      </c>
      <c r="B64" s="50" t="inlineStr">
        <is>
          <t>3418377</t>
        </is>
      </c>
      <c r="C64" s="41" t="inlineStr">
        <is>
          <t>Gestión de Proyectos</t>
        </is>
      </c>
      <c r="D64" s="41" t="inlineStr">
        <is>
          <t>DIURNA</t>
        </is>
      </c>
      <c r="E64" s="42" t="n">
        <v>24</v>
      </c>
      <c r="F64" s="42" t="n">
        <v>0</v>
      </c>
      <c r="G64" s="43" t="n">
        <v>0</v>
      </c>
      <c r="H64" s="54" t="n">
        <v>15.5</v>
      </c>
      <c r="I64" s="41" t="inlineStr">
        <is>
          <t>Bajo</t>
        </is>
      </c>
      <c r="J64" s="43" t="n">
        <v>0.08110000000000001</v>
      </c>
      <c r="K64" s="43" t="n">
        <v>0.016</v>
      </c>
      <c r="L64" s="43" t="n">
        <v>0.1918</v>
      </c>
      <c r="M64" s="41" t="inlineStr">
        <is>
          <t>P4</t>
        </is>
      </c>
    </row>
    <row r="65">
      <c r="A65" s="48" t="n">
        <v>48</v>
      </c>
      <c r="B65" s="48" t="inlineStr">
        <is>
          <t>3536070</t>
        </is>
      </c>
      <c r="C65" s="24" t="inlineStr">
        <is>
          <t>Sistemas Integrados de Gestión</t>
        </is>
      </c>
      <c r="D65" s="24" t="inlineStr">
        <is>
          <t>DIURNA</t>
        </is>
      </c>
      <c r="E65" s="44" t="n">
        <v>24</v>
      </c>
      <c r="F65" s="44" t="n">
        <v>0</v>
      </c>
      <c r="G65" s="45" t="n">
        <v>0</v>
      </c>
      <c r="H65" s="53" t="n">
        <v>15.5</v>
      </c>
      <c r="I65" s="24" t="inlineStr">
        <is>
          <t>Bajo</t>
        </is>
      </c>
      <c r="J65" s="45" t="n">
        <v>0.08110000000000001</v>
      </c>
      <c r="K65" s="45" t="n">
        <v>0.016</v>
      </c>
      <c r="L65" s="45" t="n">
        <v>0.1918</v>
      </c>
      <c r="M65" s="24" t="inlineStr">
        <is>
          <t>P4</t>
        </is>
      </c>
    </row>
    <row r="66">
      <c r="A66" s="50" t="n">
        <v>49</v>
      </c>
      <c r="B66" s="50" t="inlineStr">
        <is>
          <t>3566609</t>
        </is>
      </c>
      <c r="C66" s="41" t="inlineStr">
        <is>
          <t>Manufactura Baxter</t>
        </is>
      </c>
      <c r="D66" s="41" t="inlineStr">
        <is>
          <t>DIURNA</t>
        </is>
      </c>
      <c r="E66" s="42" t="n">
        <v>26</v>
      </c>
      <c r="F66" s="42" t="n">
        <v>0</v>
      </c>
      <c r="G66" s="43" t="n">
        <v>0</v>
      </c>
      <c r="H66" s="54" t="n">
        <v>12.7</v>
      </c>
      <c r="I66" s="41" t="inlineStr">
        <is>
          <t>Bajo</t>
        </is>
      </c>
      <c r="J66" s="43" t="n">
        <v>0.0766</v>
      </c>
      <c r="K66" s="43" t="n">
        <v>0.015</v>
      </c>
      <c r="L66" s="43" t="n">
        <v>0.1817</v>
      </c>
      <c r="M66" s="41" t="inlineStr">
        <is>
          <t>P4</t>
        </is>
      </c>
    </row>
    <row r="67">
      <c r="A67" s="48" t="n">
        <v>50</v>
      </c>
      <c r="B67" s="48" t="inlineStr">
        <is>
          <t>3465201</t>
        </is>
      </c>
      <c r="C67" s="24" t="inlineStr">
        <is>
          <t>Monitoreo Ambiental</t>
        </is>
      </c>
      <c r="D67" s="24" t="inlineStr">
        <is>
          <t>DIURNA</t>
        </is>
      </c>
      <c r="E67" s="44" t="n">
        <v>30</v>
      </c>
      <c r="F67" s="44" t="n">
        <v>0</v>
      </c>
      <c r="G67" s="45" t="n">
        <v>0</v>
      </c>
      <c r="H67" s="53" t="n">
        <v>7.3</v>
      </c>
      <c r="I67" s="24" t="inlineStr">
        <is>
          <t>Bajo</t>
        </is>
      </c>
      <c r="J67" s="45" t="n">
        <v>0.0689</v>
      </c>
      <c r="K67" s="45" t="n">
        <v>0.0135</v>
      </c>
      <c r="L67" s="45" t="n">
        <v>0.1643</v>
      </c>
      <c r="M67" s="24" t="inlineStr">
        <is>
          <t>P4</t>
        </is>
      </c>
    </row>
    <row r="68">
      <c r="A68" s="50" t="n">
        <v>51</v>
      </c>
      <c r="B68" s="50" t="inlineStr">
        <is>
          <t>3492340</t>
        </is>
      </c>
      <c r="C68" s="41" t="inlineStr">
        <is>
          <t>Modelado de Productos</t>
        </is>
      </c>
      <c r="D68" s="41" t="inlineStr">
        <is>
          <t>DIURNA</t>
        </is>
      </c>
      <c r="E68" s="42" t="n">
        <v>30</v>
      </c>
      <c r="F68" s="42" t="n">
        <v>0</v>
      </c>
      <c r="G68" s="43" t="n">
        <v>0</v>
      </c>
      <c r="H68" s="54" t="n">
        <v>7.3</v>
      </c>
      <c r="I68" s="41" t="inlineStr">
        <is>
          <t>Bajo</t>
        </is>
      </c>
      <c r="J68" s="43" t="n">
        <v>0.0689</v>
      </c>
      <c r="K68" s="43" t="n">
        <v>0.0135</v>
      </c>
      <c r="L68" s="43" t="n">
        <v>0.1643</v>
      </c>
      <c r="M68" s="41" t="inlineStr">
        <is>
          <t>P4</t>
        </is>
      </c>
    </row>
    <row r="69">
      <c r="A69" s="48" t="n">
        <v>52</v>
      </c>
      <c r="B69" s="48" t="inlineStr">
        <is>
          <t>3492368</t>
        </is>
      </c>
      <c r="C69" s="24" t="inlineStr">
        <is>
          <t>Componentes Mecánicos</t>
        </is>
      </c>
      <c r="D69" s="24" t="inlineStr">
        <is>
          <t>NOCTURNA</t>
        </is>
      </c>
      <c r="E69" s="44" t="n">
        <v>30</v>
      </c>
      <c r="F69" s="44" t="n">
        <v>0</v>
      </c>
      <c r="G69" s="45" t="n">
        <v>0</v>
      </c>
      <c r="H69" s="53" t="n">
        <v>7.3</v>
      </c>
      <c r="I69" s="24" t="inlineStr">
        <is>
          <t>Bajo</t>
        </is>
      </c>
      <c r="J69" s="45" t="n">
        <v>0.0689</v>
      </c>
      <c r="K69" s="45" t="n">
        <v>0.0135</v>
      </c>
      <c r="L69" s="45" t="n">
        <v>0.1643</v>
      </c>
      <c r="M69" s="24" t="inlineStr">
        <is>
          <t>P4</t>
        </is>
      </c>
    </row>
    <row r="70">
      <c r="A70" s="50" t="n">
        <v>53</v>
      </c>
      <c r="B70" s="50" t="inlineStr">
        <is>
          <t>3536446</t>
        </is>
      </c>
      <c r="C70" s="41" t="inlineStr">
        <is>
          <t>Química Aplicada</t>
        </is>
      </c>
      <c r="D70" s="41" t="inlineStr">
        <is>
          <t>DIURNA</t>
        </is>
      </c>
      <c r="E70" s="42" t="n">
        <v>30</v>
      </c>
      <c r="F70" s="42" t="n">
        <v>0</v>
      </c>
      <c r="G70" s="43" t="n">
        <v>0</v>
      </c>
      <c r="H70" s="54" t="n">
        <v>7.3</v>
      </c>
      <c r="I70" s="41" t="inlineStr">
        <is>
          <t>Bajo</t>
        </is>
      </c>
      <c r="J70" s="43" t="n">
        <v>0.0689</v>
      </c>
      <c r="K70" s="43" t="n">
        <v>0.0135</v>
      </c>
      <c r="L70" s="43" t="n">
        <v>0.1643</v>
      </c>
      <c r="M70" s="41" t="inlineStr">
        <is>
          <t>P4</t>
        </is>
      </c>
    </row>
    <row r="71">
      <c r="A71" s="48" t="n">
        <v>54</v>
      </c>
      <c r="B71" s="48" t="inlineStr">
        <is>
          <t>3585066</t>
        </is>
      </c>
      <c r="C71" s="24" t="inlineStr">
        <is>
          <t>Monitoreo Ambiental</t>
        </is>
      </c>
      <c r="D71" s="24" t="inlineStr">
        <is>
          <t>DIURNA</t>
        </is>
      </c>
      <c r="E71" s="44" t="n">
        <v>30</v>
      </c>
      <c r="F71" s="44" t="n">
        <v>0</v>
      </c>
      <c r="G71" s="45" t="n">
        <v>0</v>
      </c>
      <c r="H71" s="53" t="n">
        <v>7.3</v>
      </c>
      <c r="I71" s="24" t="inlineStr">
        <is>
          <t>Bajo</t>
        </is>
      </c>
      <c r="J71" s="45" t="n">
        <v>0.0689</v>
      </c>
      <c r="K71" s="45" t="n">
        <v>0.0135</v>
      </c>
      <c r="L71" s="45" t="n">
        <v>0.1643</v>
      </c>
      <c r="M71" s="24" t="inlineStr">
        <is>
          <t>P4</t>
        </is>
      </c>
    </row>
    <row r="72">
      <c r="A72" s="50" t="n">
        <v>55</v>
      </c>
      <c r="B72" s="50" t="inlineStr">
        <is>
          <t>3536292</t>
        </is>
      </c>
      <c r="C72" s="41" t="inlineStr">
        <is>
          <t>Sistemas Integrados de Gestión</t>
        </is>
      </c>
      <c r="D72" s="41" t="inlineStr">
        <is>
          <t>NOCTURNA</t>
        </is>
      </c>
      <c r="E72" s="42" t="n">
        <v>31</v>
      </c>
      <c r="F72" s="42" t="n">
        <v>0</v>
      </c>
      <c r="G72" s="43" t="n">
        <v>0</v>
      </c>
      <c r="H72" s="54" t="n">
        <v>1.8</v>
      </c>
      <c r="I72" s="41" t="inlineStr">
        <is>
          <t>Bajo</t>
        </is>
      </c>
      <c r="J72" s="43" t="n">
        <v>0.0673</v>
      </c>
      <c r="K72" s="43" t="n">
        <v>0.0131</v>
      </c>
      <c r="L72" s="43" t="n">
        <v>0.1604</v>
      </c>
      <c r="M72" s="41" t="inlineStr">
        <is>
          <t>P4</t>
        </is>
      </c>
    </row>
    <row r="73">
      <c r="A73" s="48" t="n">
        <v>56</v>
      </c>
      <c r="B73" s="48" t="inlineStr">
        <is>
          <t>3465186</t>
        </is>
      </c>
      <c r="C73" s="24" t="inlineStr">
        <is>
          <t>Monitoreo Ambiental</t>
        </is>
      </c>
      <c r="D73" s="24" t="inlineStr">
        <is>
          <t>DIURNA</t>
        </is>
      </c>
      <c r="E73" s="44" t="n">
        <v>39</v>
      </c>
      <c r="F73" s="44" t="n">
        <v>0</v>
      </c>
      <c r="G73" s="45" t="n">
        <v>0</v>
      </c>
      <c r="H73" s="53" t="n">
        <v>0</v>
      </c>
      <c r="I73" s="24" t="inlineStr">
        <is>
          <t>Bajo</t>
        </is>
      </c>
      <c r="J73" s="45" t="n">
        <v>0.0563</v>
      </c>
      <c r="K73" s="45" t="n">
        <v>0.0109</v>
      </c>
      <c r="L73" s="45" t="n">
        <v>0.1351</v>
      </c>
      <c r="M73" s="24" t="inlineStr">
        <is>
          <t>P4</t>
        </is>
      </c>
    </row>
    <row r="75" ht="21" customHeight="1">
      <c r="A75" s="30" t="inlineStr">
        <is>
          <t>Protocolo de atención</t>
        </is>
      </c>
      <c r="B75" s="31" t="n"/>
      <c r="C75" s="31" t="n"/>
      <c r="D75" s="31" t="n"/>
      <c r="E75" s="31" t="n"/>
      <c r="F75" s="31" t="n"/>
      <c r="G75" s="31" t="n"/>
      <c r="H75" s="31" t="n"/>
      <c r="I75" s="31" t="n"/>
      <c r="J75" s="31" t="n"/>
      <c r="K75" s="31" t="n"/>
      <c r="L75" s="31" t="n"/>
      <c r="M75" s="31" t="n"/>
    </row>
    <row r="76" ht="30" customHeight="1">
      <c r="A76" s="55" t="inlineStr">
        <is>
          <t>Crítico (percentil ≥ 90)</t>
        </is>
      </c>
      <c r="B76" s="56" t="n"/>
      <c r="C76" s="56" t="n"/>
      <c r="D76" s="47" t="inlineStr">
        <is>
          <t>Intervención inmediata en 5 días hábiles. Revisar asistencia, contacto y barreras; asignar responsable y registrar compromiso.</t>
        </is>
      </c>
      <c r="E76" s="56" t="n"/>
      <c r="F76" s="56" t="n"/>
      <c r="G76" s="56" t="n"/>
      <c r="H76" s="56" t="n"/>
      <c r="I76" s="56" t="n"/>
      <c r="J76" s="56" t="n"/>
      <c r="K76" s="56" t="n"/>
      <c r="L76" s="56" t="n"/>
      <c r="M76" s="56" t="n"/>
    </row>
    <row r="77" ht="30" customHeight="1">
      <c r="A77" s="55" t="inlineStr">
        <is>
          <t>Alto (75–90)</t>
        </is>
      </c>
      <c r="B77" s="56" t="n"/>
      <c r="C77" s="56" t="n"/>
      <c r="D77" s="47" t="inlineStr">
        <is>
          <t>Seguimiento quincenal. Verificar alertas individuales y contactabilidad; documentar acciones.</t>
        </is>
      </c>
      <c r="E77" s="56" t="n"/>
      <c r="F77" s="56" t="n"/>
      <c r="G77" s="56" t="n"/>
      <c r="H77" s="56" t="n"/>
      <c r="I77" s="56" t="n"/>
      <c r="J77" s="56" t="n"/>
      <c r="K77" s="56" t="n"/>
      <c r="L77" s="56" t="n"/>
      <c r="M77" s="56" t="n"/>
    </row>
    <row r="78" ht="30" customHeight="1">
      <c r="A78" s="55" t="inlineStr">
        <is>
          <t>Medio (50–75)</t>
        </is>
      </c>
      <c r="B78" s="56" t="n"/>
      <c r="C78" s="56" t="n"/>
      <c r="D78" s="47" t="inlineStr">
        <is>
          <t>Monitoreo mensual. Revisar evolución y factores de programa/jornada.</t>
        </is>
      </c>
      <c r="E78" s="56" t="n"/>
      <c r="F78" s="56" t="n"/>
      <c r="G78" s="56" t="n"/>
      <c r="H78" s="56" t="n"/>
      <c r="I78" s="56" t="n"/>
      <c r="J78" s="56" t="n"/>
      <c r="K78" s="56" t="n"/>
      <c r="L78" s="56" t="n"/>
      <c r="M78" s="56" t="n"/>
    </row>
    <row r="79" ht="30" customHeight="1">
      <c r="A79" s="55" t="inlineStr">
        <is>
          <t>Bajo (&lt; 50)</t>
        </is>
      </c>
      <c r="B79" s="56" t="n"/>
      <c r="C79" s="56" t="n"/>
      <c r="D79" s="47" t="inlineStr">
        <is>
          <t>Monitoreo rutinario. Mantener acciones preventivas y buena calidad de contacto.</t>
        </is>
      </c>
      <c r="E79" s="56" t="n"/>
      <c r="F79" s="56" t="n"/>
      <c r="G79" s="56" t="n"/>
      <c r="H79" s="56" t="n"/>
      <c r="I79" s="56" t="n"/>
      <c r="J79" s="56" t="n"/>
      <c r="K79" s="56" t="n"/>
      <c r="L79" s="56" t="n"/>
      <c r="M79" s="56" t="n"/>
    </row>
  </sheetData>
  <mergeCells count="11">
    <mergeCell ref="A1:N1"/>
    <mergeCell ref="A76:C76"/>
    <mergeCell ref="A75:M75"/>
    <mergeCell ref="D79:M79"/>
    <mergeCell ref="A79:C79"/>
    <mergeCell ref="A2:N2"/>
    <mergeCell ref="A78:C78"/>
    <mergeCell ref="D78:M78"/>
    <mergeCell ref="A77:C77"/>
    <mergeCell ref="D77:M77"/>
    <mergeCell ref="D76:M76"/>
  </mergeCells>
  <conditionalFormatting sqref="A5:A8">
    <cfRule type="cellIs" priority="1" operator="equal" dxfId="0">
      <formula>"Crítico"</formula>
    </cfRule>
    <cfRule type="cellIs" priority="2" operator="equal" dxfId="1">
      <formula>"Alto"</formula>
    </cfRule>
    <cfRule type="cellIs" priority="3" operator="equal" dxfId="2">
      <formula>"Medio"</formula>
    </cfRule>
    <cfRule type="cellIs" priority="4" operator="equal" dxfId="3">
      <formula>"Bajo"</formula>
    </cfRule>
  </conditionalFormatting>
  <conditionalFormatting sqref="I18:I73">
    <cfRule type="cellIs" priority="5" operator="equal" dxfId="0">
      <formula>"Crítico"</formula>
    </cfRule>
    <cfRule type="cellIs" priority="6" operator="equal" dxfId="1">
      <formula>"Alto"</formula>
    </cfRule>
    <cfRule type="cellIs" priority="7" operator="equal" dxfId="2">
      <formula>"Medio"</formula>
    </cfRule>
    <cfRule type="cellIs" priority="8" operator="equal" dxfId="3">
      <formula>"Bajo"</formula>
    </cfRule>
  </conditionalFormatting>
  <pageMargins left="0.35" right="0.35" top="0.45" bottom="0.45" header="0.5" footer="0.5"/>
  <pageSetup orientation="landscape" fitToHeight="0" fitToWidth="1"/>
  <headerFooter>
    <oddHeader/>
    <oddFooter>&amp;C&amp;8 &amp;K808080Caracterización de Aprendices Centro ASTIN · Corte 19/10/2026 · Datos sin PII</oddFooter>
    <evenHeader/>
    <evenFooter/>
    <firstHeader/>
    <firstFooter/>
  </headerFooter>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7.xml><?xml version="1.0" encoding="utf-8"?>
<worksheet xmlns="http://schemas.openxmlformats.org/spreadsheetml/2006/main">
  <sheetPr>
    <outlinePr summaryBelow="1" summaryRight="1"/>
    <pageSetUpPr fitToPage="1"/>
  </sheetPr>
  <dimension ref="A1:N170"/>
  <sheetViews>
    <sheetView showGridLines="0" workbookViewId="0">
      <pane ySplit="68" topLeftCell="A69" activePane="bottomLeft" state="frozen"/>
      <selection pane="bottomLeft" activeCell="A1" sqref="A1"/>
    </sheetView>
  </sheetViews>
  <sheetFormatPr baseColWidth="8" defaultRowHeight="15"/>
  <cols>
    <col width="38" customWidth="1" min="1" max="1"/>
    <col width="18" customWidth="1" min="2" max="2"/>
    <col width="58" customWidth="1" min="3" max="3"/>
    <col width="30" customWidth="1" min="4" max="4"/>
    <col width="15" customWidth="1" min="5" max="5"/>
    <col width="13" customWidth="1" min="6" max="6"/>
    <col width="13" customWidth="1" min="7" max="7"/>
    <col width="14" customWidth="1" min="8" max="8"/>
    <col width="13" customWidth="1" min="9" max="9"/>
    <col width="42" customWidth="1" min="10" max="10"/>
    <col width="13" customWidth="1" min="11" max="11"/>
  </cols>
  <sheetData>
    <row r="1" ht="38" customHeight="1">
      <c r="A1" s="35" t="inlineStr">
        <is>
          <t>Capa predictiva y proyección</t>
        </is>
      </c>
      <c r="B1" s="2" t="n"/>
      <c r="C1" s="2" t="n"/>
      <c r="D1" s="2" t="n"/>
      <c r="E1" s="2" t="n"/>
      <c r="F1" s="2" t="n"/>
      <c r="G1" s="2" t="n"/>
      <c r="H1" s="2" t="n"/>
      <c r="I1" s="2" t="n"/>
      <c r="J1" s="2" t="n"/>
      <c r="K1" s="2" t="n"/>
      <c r="L1" s="2" t="n"/>
      <c r="M1" s="2" t="n"/>
      <c r="N1" s="2" t="n"/>
    </row>
    <row r="2" ht="24" customHeight="1">
      <c r="A2" s="36" t="inlineStr">
        <is>
          <t>Modelo estructural, calibración, escenarios de permanencia y priorización operativa.</t>
        </is>
      </c>
      <c r="B2" s="37" t="n"/>
      <c r="C2" s="37" t="n"/>
      <c r="D2" s="37" t="n"/>
      <c r="E2" s="37" t="n"/>
      <c r="F2" s="37" t="n"/>
      <c r="G2" s="37" t="n"/>
      <c r="H2" s="37" t="n"/>
      <c r="I2" s="37" t="n"/>
      <c r="J2" s="37" t="n"/>
      <c r="K2" s="37" t="n"/>
      <c r="L2" s="37" t="n"/>
      <c r="M2" s="37" t="n"/>
      <c r="N2" s="37" t="n"/>
    </row>
    <row r="4" ht="27" customHeight="1">
      <c r="A4" s="40" t="inlineStr">
        <is>
          <t>Métrica</t>
        </is>
      </c>
      <c r="B4" s="40" t="inlineStr">
        <is>
          <t>Valor</t>
        </is>
      </c>
      <c r="C4" s="40" t="inlineStr">
        <is>
          <t>Lectura</t>
        </is>
      </c>
    </row>
    <row r="5">
      <c r="A5" s="24" t="inlineStr">
        <is>
          <t>AUC out-of-fold</t>
        </is>
      </c>
      <c r="B5" s="24" t="inlineStr">
        <is>
          <t>0.726</t>
        </is>
      </c>
      <c r="C5" s="24" t="inlineStr">
        <is>
          <t>Validación agrupada por ficha (5 folds).</t>
        </is>
      </c>
    </row>
    <row r="6">
      <c r="A6" s="41" t="inlineStr">
        <is>
          <t>IC 95% AUC (bootstrap)</t>
        </is>
      </c>
      <c r="B6" s="41" t="inlineStr">
        <is>
          <t>0.669 – 0.781</t>
        </is>
      </c>
      <c r="C6" s="41" t="inlineStr">
        <is>
          <t>1.000 réplicas válidas por ficha.</t>
        </is>
      </c>
    </row>
    <row r="7">
      <c r="A7" s="24" t="inlineStr">
        <is>
          <t>Brier</t>
        </is>
      </c>
      <c r="B7" s="24" t="inlineStr">
        <is>
          <t>0.178</t>
        </is>
      </c>
      <c r="C7" s="24" t="inlineStr">
        <is>
          <t>Base sin modelo: 0.200.</t>
        </is>
      </c>
    </row>
    <row r="8">
      <c r="A8" s="41" t="inlineStr">
        <is>
          <t>ECE</t>
        </is>
      </c>
      <c r="B8" s="41" t="inlineStr">
        <is>
          <t>0.048</t>
        </is>
      </c>
      <c r="C8" s="41" t="inlineStr">
        <is>
          <t>Error de calibración esperado (menor es mejor).</t>
        </is>
      </c>
    </row>
    <row r="9">
      <c r="A9" s="24" t="inlineStr">
        <is>
          <t>Pendiente de calibración</t>
        </is>
      </c>
      <c r="B9" s="24" t="inlineStr">
        <is>
          <t>0.721</t>
        </is>
      </c>
      <c r="C9" s="24" t="inlineStr">
        <is>
          <t>1,0 sería calibración perfecta.</t>
        </is>
      </c>
    </row>
    <row r="10">
      <c r="A10" s="41" t="inlineStr">
        <is>
          <t>Sensibilidad / especificidad</t>
        </is>
      </c>
      <c r="B10" s="41" t="inlineStr">
        <is>
          <t>0.740 / 0.644</t>
        </is>
      </c>
      <c r="C10" s="41" t="inlineStr">
        <is>
          <t>Umbral Youden = 0.202.</t>
        </is>
      </c>
    </row>
    <row r="11">
      <c r="A11" s="24" t="inlineStr">
        <is>
          <t>AUC estructural</t>
        </is>
      </c>
      <c r="B11" s="24" t="inlineStr">
        <is>
          <t>0.716</t>
        </is>
      </c>
      <c r="C11" s="24" t="inlineStr">
        <is>
          <t>Sin variables individuales.</t>
        </is>
      </c>
    </row>
    <row r="12">
      <c r="A12" s="41" t="inlineStr">
        <is>
          <t>AUC individual</t>
        </is>
      </c>
      <c r="B12" s="41" t="inlineStr">
        <is>
          <t>0.467</t>
        </is>
      </c>
      <c r="C12" s="41" t="inlineStr">
        <is>
          <t>Variables individuales; cerca del azar.</t>
        </is>
      </c>
    </row>
    <row r="14" ht="52" customHeight="1">
      <c r="A14" s="52" t="inlineStr">
        <is>
          <t>El modelo usa un solo snapshot y etiquetas observadas en el mismo corte. La validación agrupada por ficha evita filtrar información entre fichas, pero no sustituye una validación temporal. AUC 0,726 indica discriminación moderada entre fichas; AUC individual 0,467 indica que las variables personales disponibles no discriminan. Use el score para priorizar fichas y acciones, nunca para sancionar o negar cupos.</t>
        </is>
      </c>
      <c r="B14" s="29" t="n"/>
      <c r="C14" s="29" t="n"/>
      <c r="D14" s="29" t="n"/>
      <c r="E14" s="29" t="n"/>
      <c r="F14" s="29" t="n"/>
      <c r="G14" s="29" t="n"/>
      <c r="H14" s="29" t="n"/>
      <c r="I14" s="29" t="n"/>
      <c r="J14" s="29" t="n"/>
      <c r="K14" s="29" t="n"/>
      <c r="L14" s="29" t="n"/>
      <c r="M14" s="29" t="n"/>
      <c r="N14" s="29" t="n"/>
    </row>
    <row r="20" ht="21" customHeight="1">
      <c r="A20" s="22" t="inlineStr">
        <is>
          <t>Comparación de especificaciones</t>
        </is>
      </c>
      <c r="B20" s="2" t="n"/>
      <c r="C20" s="2" t="n"/>
      <c r="D20" s="2" t="n"/>
      <c r="E20" s="2" t="n"/>
      <c r="F20" s="2" t="n"/>
      <c r="G20" s="2" t="n"/>
      <c r="H20" s="2" t="n"/>
      <c r="I20" s="2" t="n"/>
      <c r="J20" s="2" t="n"/>
      <c r="K20" s="2" t="n"/>
      <c r="L20" s="2" t="n"/>
      <c r="M20" s="2" t="n"/>
      <c r="N20" s="2" t="n"/>
    </row>
    <row r="21" ht="27" customHeight="1">
      <c r="A21" s="40" t="inlineStr">
        <is>
          <t>Especificación</t>
        </is>
      </c>
      <c r="B21" s="40" t="inlineStr">
        <is>
          <t>AUC</t>
        </is>
      </c>
      <c r="C21" s="40" t="inlineStr">
        <is>
          <t>Brier</t>
        </is>
      </c>
      <c r="D21" s="40" t="inlineStr">
        <is>
          <t>Ganancia vs azar</t>
        </is>
      </c>
    </row>
    <row r="22">
      <c r="A22" s="41" t="inlineStr">
        <is>
          <t>Principal (estructura + individuo)</t>
        </is>
      </c>
      <c r="B22" s="57" t="n">
        <v>0.7258</v>
      </c>
      <c r="C22" s="57" t="n">
        <v>0.1776</v>
      </c>
      <c r="D22" s="58" t="n">
        <v>0.2258</v>
      </c>
    </row>
    <row r="23">
      <c r="A23" s="24" t="inlineStr">
        <is>
          <t>Estructural (sin individuo)</t>
        </is>
      </c>
      <c r="B23" s="59" t="n">
        <v>0.7158</v>
      </c>
      <c r="C23" s="59" t="n">
        <v>0.1806</v>
      </c>
      <c r="D23" s="60" t="n">
        <v>0.2158</v>
      </c>
    </row>
    <row r="24">
      <c r="A24" s="41" t="inlineStr">
        <is>
          <t>Individual</t>
        </is>
      </c>
      <c r="B24" s="57" t="n">
        <v>0.4666</v>
      </c>
      <c r="C24" s="57" t="n">
        <v>0.2009</v>
      </c>
      <c r="D24" s="58" t="n">
        <v>-0.0334</v>
      </c>
    </row>
    <row r="26" ht="21" customHeight="1">
      <c r="A26" s="22" t="inlineStr">
        <is>
          <t>Calibración por deciles</t>
        </is>
      </c>
      <c r="B26" s="2" t="n"/>
      <c r="C26" s="2" t="n"/>
      <c r="D26" s="2" t="n"/>
      <c r="E26" s="2" t="n"/>
      <c r="F26" s="2" t="n"/>
      <c r="G26" s="2" t="n"/>
      <c r="H26" s="2" t="n"/>
      <c r="I26" s="2" t="n"/>
      <c r="J26" s="2" t="n"/>
      <c r="K26" s="2" t="n"/>
      <c r="L26" s="2" t="n"/>
      <c r="M26" s="2" t="n"/>
      <c r="N26" s="2" t="n"/>
    </row>
    <row r="27" ht="27" customHeight="1">
      <c r="A27" s="40" t="inlineStr">
        <is>
          <t>Decil</t>
        </is>
      </c>
      <c r="B27" s="40" t="inlineStr">
        <is>
          <t>n</t>
        </is>
      </c>
      <c r="C27" s="40" t="inlineStr">
        <is>
          <t>Probabilidad media</t>
        </is>
      </c>
      <c r="D27" s="40" t="inlineStr">
        <is>
          <t>Tasa observada</t>
        </is>
      </c>
      <c r="E27" s="40" t="inlineStr">
        <is>
          <t>Brecha (pp)</t>
        </is>
      </c>
    </row>
    <row r="28">
      <c r="A28" s="42" t="n">
        <v>1</v>
      </c>
      <c r="B28" s="42" t="n">
        <v>160</v>
      </c>
      <c r="C28" s="43" t="n">
        <v>0.0271</v>
      </c>
      <c r="D28" s="43" t="n">
        <v>0.0563</v>
      </c>
      <c r="E28" s="51" t="n">
        <v>2.91</v>
      </c>
    </row>
    <row r="29">
      <c r="A29" s="44" t="n">
        <v>2</v>
      </c>
      <c r="B29" s="44" t="n">
        <v>160</v>
      </c>
      <c r="C29" s="45" t="n">
        <v>0.0645</v>
      </c>
      <c r="D29" s="45" t="n">
        <v>0.1062</v>
      </c>
      <c r="E29" s="49" t="n">
        <v>4.18</v>
      </c>
    </row>
    <row r="30">
      <c r="A30" s="42" t="n">
        <v>3</v>
      </c>
      <c r="B30" s="42" t="n">
        <v>159</v>
      </c>
      <c r="C30" s="43" t="n">
        <v>0.0985</v>
      </c>
      <c r="D30" s="43" t="n">
        <v>0.1635</v>
      </c>
      <c r="E30" s="51" t="n">
        <v>6.510000000000001</v>
      </c>
    </row>
    <row r="31">
      <c r="A31" s="44" t="n">
        <v>4</v>
      </c>
      <c r="B31" s="44" t="n">
        <v>159</v>
      </c>
      <c r="C31" s="45" t="n">
        <v>0.1371</v>
      </c>
      <c r="D31" s="45" t="n">
        <v>0.1384</v>
      </c>
      <c r="E31" s="49" t="n">
        <v>0.13</v>
      </c>
    </row>
    <row r="32">
      <c r="A32" s="42" t="n">
        <v>5</v>
      </c>
      <c r="B32" s="42" t="n">
        <v>159</v>
      </c>
      <c r="C32" s="43" t="n">
        <v>0.1619</v>
      </c>
      <c r="D32" s="43" t="n">
        <v>0.195</v>
      </c>
      <c r="E32" s="51" t="n">
        <v>3.3</v>
      </c>
    </row>
    <row r="33">
      <c r="A33" s="44" t="n">
        <v>6</v>
      </c>
      <c r="B33" s="44" t="n">
        <v>159</v>
      </c>
      <c r="C33" s="45" t="n">
        <v>0.2212</v>
      </c>
      <c r="D33" s="45" t="n">
        <v>0.283</v>
      </c>
      <c r="E33" s="49" t="n">
        <v>6.18</v>
      </c>
    </row>
    <row r="34">
      <c r="A34" s="42" t="n">
        <v>7</v>
      </c>
      <c r="B34" s="42" t="n">
        <v>159</v>
      </c>
      <c r="C34" s="43" t="n">
        <v>0.3268</v>
      </c>
      <c r="D34" s="43" t="n">
        <v>0.4151</v>
      </c>
      <c r="E34" s="51" t="n">
        <v>8.83</v>
      </c>
    </row>
    <row r="35">
      <c r="A35" s="44" t="n">
        <v>8</v>
      </c>
      <c r="B35" s="44" t="n">
        <v>159</v>
      </c>
      <c r="C35" s="45" t="n">
        <v>0.4285</v>
      </c>
      <c r="D35" s="45" t="n">
        <v>0.4151</v>
      </c>
      <c r="E35" s="49" t="n">
        <v>-1.34</v>
      </c>
    </row>
    <row r="36">
      <c r="A36" s="42" t="n">
        <v>9</v>
      </c>
      <c r="B36" s="42" t="n">
        <v>159</v>
      </c>
      <c r="C36" s="43" t="n">
        <v>0.4987</v>
      </c>
      <c r="D36" s="43" t="n">
        <v>0.4151</v>
      </c>
      <c r="E36" s="51" t="n">
        <v>-8.359999999999999</v>
      </c>
    </row>
    <row r="37">
      <c r="A37" s="44" t="n">
        <v>10</v>
      </c>
      <c r="B37" s="44" t="n">
        <v>159</v>
      </c>
      <c r="C37" s="45" t="n">
        <v>0.633</v>
      </c>
      <c r="D37" s="45" t="n">
        <v>0.5723</v>
      </c>
      <c r="E37" s="49" t="n">
        <v>-6.069999999999999</v>
      </c>
    </row>
    <row r="40" ht="21" customHeight="1">
      <c r="A40" s="22" t="inlineStr">
        <is>
          <t>Proyección de permanencia por escenarios</t>
        </is>
      </c>
      <c r="B40" s="2" t="n"/>
      <c r="C40" s="2" t="n"/>
      <c r="D40" s="2" t="n"/>
      <c r="E40" s="2" t="n"/>
      <c r="F40" s="2" t="n"/>
      <c r="G40" s="2" t="n"/>
      <c r="H40" s="2" t="n"/>
      <c r="I40" s="2" t="n"/>
      <c r="J40" s="2" t="n"/>
      <c r="K40" s="2" t="n"/>
      <c r="L40" s="2" t="n"/>
      <c r="M40" s="2" t="n"/>
      <c r="N40" s="2" t="n"/>
    </row>
    <row r="41" ht="27" customHeight="1">
      <c r="A41" s="40" t="inlineStr">
        <is>
          <t>Escenario</t>
        </is>
      </c>
      <c r="B41" s="40" t="inlineStr">
        <is>
          <t>Población vinculada</t>
        </is>
      </c>
      <c r="C41" s="40" t="inlineStr">
        <is>
          <t>Pérdida adicional</t>
        </is>
      </c>
      <c r="D41" s="40" t="inlineStr">
        <is>
          <t>Población proyectada</t>
        </is>
      </c>
      <c r="E41" s="40" t="inlineStr">
        <is>
          <t>Tasa proyectada</t>
        </is>
      </c>
    </row>
    <row r="42">
      <c r="A42" s="41" t="inlineStr">
        <is>
          <t>Optimista</t>
        </is>
      </c>
      <c r="B42" s="42" t="n">
        <v>1144</v>
      </c>
      <c r="C42" s="42" t="n">
        <v>212</v>
      </c>
      <c r="D42" s="42" t="n">
        <v>932</v>
      </c>
      <c r="E42" s="43" t="n">
        <v>0.4089</v>
      </c>
    </row>
    <row r="43">
      <c r="A43" s="24" t="inlineStr">
        <is>
          <t>Base</t>
        </is>
      </c>
      <c r="B43" s="44" t="n">
        <v>1144</v>
      </c>
      <c r="C43" s="44" t="n">
        <v>287.6</v>
      </c>
      <c r="D43" s="44" t="n">
        <v>856.4</v>
      </c>
      <c r="E43" s="45" t="n">
        <v>0.4564</v>
      </c>
    </row>
    <row r="44">
      <c r="A44" s="41" t="inlineStr">
        <is>
          <t>Pesimista</t>
        </is>
      </c>
      <c r="B44" s="42" t="n">
        <v>1144</v>
      </c>
      <c r="C44" s="42" t="n">
        <v>375.2</v>
      </c>
      <c r="D44" s="42" t="n">
        <v>768.8</v>
      </c>
      <c r="E44" s="43" t="n">
        <v>0.5114</v>
      </c>
    </row>
    <row r="46" ht="40" customHeight="1">
      <c r="A46" s="52" t="inlineStr">
        <is>
          <t>Proyección de permanencia de los 1.144 vinculados, no de nueva matrícula. El escenario Base usa un plateau global de 43,2% y suavizado por programa (k=50). Optimista resta 7 pp y pesimista suma 7 pp. No hay fechas de cierre: no se producen proyecciones mensuales ni anuales.</t>
        </is>
      </c>
      <c r="B46" s="29" t="n"/>
      <c r="C46" s="29" t="n"/>
      <c r="D46" s="29" t="n"/>
      <c r="E46" s="29" t="n"/>
      <c r="F46" s="29" t="n"/>
      <c r="G46" s="29" t="n"/>
      <c r="H46" s="29" t="n"/>
      <c r="I46" s="29" t="n"/>
      <c r="J46" s="29" t="n"/>
      <c r="K46" s="29" t="n"/>
      <c r="L46" s="29" t="n"/>
      <c r="M46" s="29" t="n"/>
      <c r="N46" s="29" t="n"/>
    </row>
    <row r="49" ht="21" customHeight="1">
      <c r="A49" s="22" t="inlineStr">
        <is>
          <t>Fichas con mayor probabilidad estructural de pérdida</t>
        </is>
      </c>
      <c r="B49" s="2" t="n"/>
      <c r="C49" s="2" t="n"/>
      <c r="D49" s="2" t="n"/>
      <c r="E49" s="2" t="n"/>
      <c r="F49" s="2" t="n"/>
      <c r="G49" s="2" t="n"/>
      <c r="H49" s="2" t="n"/>
      <c r="I49" s="2" t="n"/>
      <c r="J49" s="2" t="n"/>
      <c r="K49" s="2" t="n"/>
      <c r="L49" s="2" t="n"/>
      <c r="M49" s="2" t="n"/>
      <c r="N49" s="2" t="n"/>
    </row>
    <row r="50" ht="27" customHeight="1">
      <c r="A50" s="40" t="inlineStr">
        <is>
          <t>Ranking</t>
        </is>
      </c>
      <c r="B50" s="40" t="inlineStr">
        <is>
          <t>Ficha</t>
        </is>
      </c>
      <c r="C50" s="40" t="inlineStr">
        <is>
          <t>Jornada</t>
        </is>
      </c>
      <c r="D50" s="40" t="inlineStr">
        <is>
          <t>Generación</t>
        </is>
      </c>
      <c r="E50" s="40" t="inlineStr">
        <is>
          <t>n</t>
        </is>
      </c>
      <c r="F50" s="40" t="inlineStr">
        <is>
          <t>Pérdidas</t>
        </is>
      </c>
      <c r="G50" s="40" t="inlineStr">
        <is>
          <t>Tasa observada</t>
        </is>
      </c>
      <c r="H50" s="40" t="inlineStr">
        <is>
          <t>Prob. posterior</t>
        </is>
      </c>
      <c r="I50" s="40" t="inlineStr">
        <is>
          <t>IC 95% inf.</t>
        </is>
      </c>
      <c r="J50" s="40" t="inlineStr">
        <is>
          <t>IC 95% sup.</t>
        </is>
      </c>
      <c r="K50" s="40" t="inlineStr">
        <is>
          <t>Nivel</t>
        </is>
      </c>
    </row>
    <row r="51">
      <c r="A51" s="44" t="n">
        <v>1</v>
      </c>
      <c r="B51" s="24" t="inlineStr">
        <is>
          <t>3171493</t>
        </is>
      </c>
      <c r="C51" s="24" t="inlineStr">
        <is>
          <t>NOCTURNA</t>
        </is>
      </c>
      <c r="D51" s="24" t="inlineStr">
        <is>
          <t>GEN-317</t>
        </is>
      </c>
      <c r="E51" s="44" t="n">
        <v>29</v>
      </c>
      <c r="F51" s="44" t="n">
        <v>18</v>
      </c>
      <c r="G51" s="45" t="n">
        <v>0.6207</v>
      </c>
      <c r="H51" s="45" t="n">
        <v>0.5322</v>
      </c>
      <c r="I51" s="45" t="n">
        <v>0.3769</v>
      </c>
      <c r="J51" s="45" t="n">
        <v>0.6844</v>
      </c>
      <c r="K51" s="24" t="inlineStr">
        <is>
          <t>Crítico</t>
        </is>
      </c>
    </row>
    <row r="52">
      <c r="A52" s="42" t="n">
        <v>2</v>
      </c>
      <c r="B52" s="41" t="inlineStr">
        <is>
          <t>3181464</t>
        </is>
      </c>
      <c r="C52" s="41" t="inlineStr">
        <is>
          <t>NOCTURNA</t>
        </is>
      </c>
      <c r="D52" s="41" t="inlineStr">
        <is>
          <t>GEN-318</t>
        </is>
      </c>
      <c r="E52" s="42" t="n">
        <v>31</v>
      </c>
      <c r="F52" s="42" t="n">
        <v>19</v>
      </c>
      <c r="G52" s="43" t="n">
        <v>0.6129</v>
      </c>
      <c r="H52" s="43" t="n">
        <v>0.5306999999999999</v>
      </c>
      <c r="I52" s="43" t="n">
        <v>0.3791</v>
      </c>
      <c r="J52" s="43" t="n">
        <v>0.6794</v>
      </c>
      <c r="K52" s="41" t="inlineStr">
        <is>
          <t>Crítico</t>
        </is>
      </c>
    </row>
    <row r="53">
      <c r="A53" s="44" t="n">
        <v>3</v>
      </c>
      <c r="B53" s="24" t="inlineStr">
        <is>
          <t>3145899</t>
        </is>
      </c>
      <c r="C53" s="24" t="inlineStr">
        <is>
          <t>DIURNA</t>
        </is>
      </c>
      <c r="D53" s="24" t="inlineStr">
        <is>
          <t>GEN-314</t>
        </is>
      </c>
      <c r="E53" s="44" t="n">
        <v>30</v>
      </c>
      <c r="F53" s="44" t="n">
        <v>18</v>
      </c>
      <c r="G53" s="45" t="n">
        <v>0.6</v>
      </c>
      <c r="H53" s="45" t="n">
        <v>0.5189</v>
      </c>
      <c r="I53" s="45" t="n">
        <v>0.366</v>
      </c>
      <c r="J53" s="45" t="n">
        <v>0.6701</v>
      </c>
      <c r="K53" s="24" t="inlineStr">
        <is>
          <t>Crítico</t>
        </is>
      </c>
    </row>
    <row r="54">
      <c r="A54" s="42" t="n">
        <v>4</v>
      </c>
      <c r="B54" s="41" t="inlineStr">
        <is>
          <t>3302821</t>
        </is>
      </c>
      <c r="C54" s="41" t="inlineStr">
        <is>
          <t>NOCTURNA</t>
        </is>
      </c>
      <c r="D54" s="41" t="inlineStr">
        <is>
          <t>GEN-330</t>
        </is>
      </c>
      <c r="E54" s="42" t="n">
        <v>46</v>
      </c>
      <c r="F54" s="42" t="n">
        <v>25</v>
      </c>
      <c r="G54" s="43" t="n">
        <v>0.5435</v>
      </c>
      <c r="H54" s="43" t="n">
        <v>0.4957</v>
      </c>
      <c r="I54" s="43" t="n">
        <v>0.3665</v>
      </c>
      <c r="J54" s="43" t="n">
        <v>0.6251</v>
      </c>
      <c r="K54" s="41" t="inlineStr">
        <is>
          <t>Crítico</t>
        </is>
      </c>
    </row>
    <row r="55">
      <c r="A55" s="44" t="n">
        <v>5</v>
      </c>
      <c r="B55" s="24" t="inlineStr">
        <is>
          <t>3141025</t>
        </is>
      </c>
      <c r="C55" s="24" t="inlineStr">
        <is>
          <t>NOCTURNA</t>
        </is>
      </c>
      <c r="D55" s="24" t="inlineStr">
        <is>
          <t>GEN-314</t>
        </is>
      </c>
      <c r="E55" s="44" t="n">
        <v>31</v>
      </c>
      <c r="F55" s="44" t="n">
        <v>17</v>
      </c>
      <c r="G55" s="45" t="n">
        <v>0.5484</v>
      </c>
      <c r="H55" s="45" t="n">
        <v>0.4819</v>
      </c>
      <c r="I55" s="45" t="n">
        <v>0.3324</v>
      </c>
      <c r="J55" s="45" t="n">
        <v>0.633</v>
      </c>
      <c r="K55" s="24" t="inlineStr">
        <is>
          <t>Crítico</t>
        </is>
      </c>
    </row>
    <row r="56">
      <c r="A56" s="42" t="n">
        <v>6</v>
      </c>
      <c r="B56" s="41" t="inlineStr">
        <is>
          <t>3302143</t>
        </is>
      </c>
      <c r="C56" s="41" t="inlineStr">
        <is>
          <t>DIURNA</t>
        </is>
      </c>
      <c r="D56" s="41" t="inlineStr">
        <is>
          <t>GEN-330</t>
        </is>
      </c>
      <c r="E56" s="42" t="n">
        <v>39</v>
      </c>
      <c r="F56" s="42" t="n">
        <v>19</v>
      </c>
      <c r="G56" s="43" t="n">
        <v>0.4872</v>
      </c>
      <c r="H56" s="43" t="n">
        <v>0.444</v>
      </c>
      <c r="I56" s="43" t="n">
        <v>0.3091</v>
      </c>
      <c r="J56" s="43" t="n">
        <v>0.5833</v>
      </c>
      <c r="K56" s="41" t="inlineStr">
        <is>
          <t>Crítico</t>
        </is>
      </c>
    </row>
    <row r="57">
      <c r="A57" s="44" t="n">
        <v>7</v>
      </c>
      <c r="B57" s="24" t="inlineStr">
        <is>
          <t>3179876</t>
        </is>
      </c>
      <c r="C57" s="24" t="inlineStr">
        <is>
          <t>NOCTURNA</t>
        </is>
      </c>
      <c r="D57" s="24" t="inlineStr">
        <is>
          <t>GEN-317</t>
        </is>
      </c>
      <c r="E57" s="44" t="n">
        <v>26</v>
      </c>
      <c r="F57" s="44" t="n">
        <v>13</v>
      </c>
      <c r="G57" s="45" t="n">
        <v>0.5</v>
      </c>
      <c r="H57" s="45" t="n">
        <v>0.4377</v>
      </c>
      <c r="I57" s="45" t="n">
        <v>0.2822</v>
      </c>
      <c r="J57" s="45" t="n">
        <v>0.5998</v>
      </c>
      <c r="K57" s="24" t="inlineStr">
        <is>
          <t>Alto</t>
        </is>
      </c>
    </row>
    <row r="58">
      <c r="A58" s="42" t="n">
        <v>8</v>
      </c>
      <c r="B58" s="41" t="inlineStr">
        <is>
          <t>3350110</t>
        </is>
      </c>
      <c r="C58" s="41" t="inlineStr">
        <is>
          <t>NOCTURNA</t>
        </is>
      </c>
      <c r="D58" s="41" t="inlineStr">
        <is>
          <t>GEN-335</t>
        </is>
      </c>
      <c r="E58" s="42" t="n">
        <v>24</v>
      </c>
      <c r="F58" s="42" t="n">
        <v>12</v>
      </c>
      <c r="G58" s="43" t="n">
        <v>0.5</v>
      </c>
      <c r="H58" s="43" t="n">
        <v>0.434</v>
      </c>
      <c r="I58" s="43" t="n">
        <v>0.2746</v>
      </c>
      <c r="J58" s="43" t="n">
        <v>0.6008</v>
      </c>
      <c r="K58" s="41" t="inlineStr">
        <is>
          <t>Alto</t>
        </is>
      </c>
    </row>
    <row r="59">
      <c r="A59" s="44" t="n">
        <v>9</v>
      </c>
      <c r="B59" s="24" t="inlineStr">
        <is>
          <t>3350113</t>
        </is>
      </c>
      <c r="C59" s="24" t="inlineStr">
        <is>
          <t>NOCTURNA</t>
        </is>
      </c>
      <c r="D59" s="24" t="inlineStr">
        <is>
          <t>GEN-335</t>
        </is>
      </c>
      <c r="E59" s="44" t="n">
        <v>27</v>
      </c>
      <c r="F59" s="44" t="n">
        <v>13</v>
      </c>
      <c r="G59" s="45" t="n">
        <v>0.4815</v>
      </c>
      <c r="H59" s="45" t="n">
        <v>0.4259</v>
      </c>
      <c r="I59" s="45" t="n">
        <v>0.2734</v>
      </c>
      <c r="J59" s="45" t="n">
        <v>0.5859</v>
      </c>
      <c r="K59" s="24" t="inlineStr">
        <is>
          <t>Alto</t>
        </is>
      </c>
    </row>
    <row r="60">
      <c r="A60" s="42" t="n">
        <v>10</v>
      </c>
      <c r="B60" s="41" t="inlineStr">
        <is>
          <t>3171643</t>
        </is>
      </c>
      <c r="C60" s="41" t="inlineStr">
        <is>
          <t>DIURNA</t>
        </is>
      </c>
      <c r="D60" s="41" t="inlineStr">
        <is>
          <t>GEN-317</t>
        </is>
      </c>
      <c r="E60" s="42" t="n">
        <v>18</v>
      </c>
      <c r="F60" s="42" t="n">
        <v>9</v>
      </c>
      <c r="G60" s="43" t="n">
        <v>0.5</v>
      </c>
      <c r="H60" s="43" t="n">
        <v>0.4199</v>
      </c>
      <c r="I60" s="43" t="n">
        <v>0.2472</v>
      </c>
      <c r="J60" s="43" t="n">
        <v>0.6035</v>
      </c>
      <c r="K60" s="41" t="inlineStr">
        <is>
          <t>Alto</t>
        </is>
      </c>
    </row>
    <row r="61">
      <c r="A61" s="44" t="n">
        <v>11</v>
      </c>
      <c r="B61" s="24" t="inlineStr">
        <is>
          <t>3179887</t>
        </is>
      </c>
      <c r="C61" s="24" t="inlineStr">
        <is>
          <t>NOCTURNA</t>
        </is>
      </c>
      <c r="D61" s="24" t="inlineStr">
        <is>
          <t>GEN-317</t>
        </is>
      </c>
      <c r="E61" s="44" t="n">
        <v>30</v>
      </c>
      <c r="F61" s="44" t="n">
        <v>14</v>
      </c>
      <c r="G61" s="45" t="n">
        <v>0.4667</v>
      </c>
      <c r="H61" s="45" t="n">
        <v>0.4189</v>
      </c>
      <c r="I61" s="45" t="n">
        <v>0.2726</v>
      </c>
      <c r="J61" s="45" t="n">
        <v>0.5729</v>
      </c>
      <c r="K61" s="24" t="inlineStr">
        <is>
          <t>Alto</t>
        </is>
      </c>
    </row>
    <row r="62">
      <c r="A62" s="42" t="n">
        <v>12</v>
      </c>
      <c r="B62" s="41" t="inlineStr">
        <is>
          <t>3302147</t>
        </is>
      </c>
      <c r="C62" s="41" t="inlineStr">
        <is>
          <t>DIURNA</t>
        </is>
      </c>
      <c r="D62" s="41" t="inlineStr">
        <is>
          <t>GEN-330</t>
        </is>
      </c>
      <c r="E62" s="42" t="n">
        <v>30</v>
      </c>
      <c r="F62" s="42" t="n">
        <v>14</v>
      </c>
      <c r="G62" s="43" t="n">
        <v>0.4667</v>
      </c>
      <c r="H62" s="43" t="n">
        <v>0.4189</v>
      </c>
      <c r="I62" s="43" t="n">
        <v>0.2726</v>
      </c>
      <c r="J62" s="43" t="n">
        <v>0.5729</v>
      </c>
      <c r="K62" s="41" t="inlineStr">
        <is>
          <t>Alto</t>
        </is>
      </c>
    </row>
    <row r="63">
      <c r="A63" s="44" t="n">
        <v>13</v>
      </c>
      <c r="B63" s="24" t="inlineStr">
        <is>
          <t>3409328</t>
        </is>
      </c>
      <c r="C63" s="24" t="inlineStr">
        <is>
          <t>DIURNA</t>
        </is>
      </c>
      <c r="D63" s="24" t="inlineStr">
        <is>
          <t>GEN-340</t>
        </is>
      </c>
      <c r="E63" s="44" t="n">
        <v>14</v>
      </c>
      <c r="F63" s="44" t="n">
        <v>7</v>
      </c>
      <c r="G63" s="45" t="n">
        <v>0.5</v>
      </c>
      <c r="H63" s="45" t="n">
        <v>0.4066</v>
      </c>
      <c r="I63" s="45" t="n">
        <v>0.2233</v>
      </c>
      <c r="J63" s="45" t="n">
        <v>0.6046</v>
      </c>
      <c r="K63" s="24" t="inlineStr">
        <is>
          <t>Alto</t>
        </is>
      </c>
    </row>
    <row r="64">
      <c r="A64" s="42" t="n">
        <v>14</v>
      </c>
      <c r="B64" s="41" t="inlineStr">
        <is>
          <t>3171542</t>
        </is>
      </c>
      <c r="C64" s="41" t="inlineStr">
        <is>
          <t>DIURNA</t>
        </is>
      </c>
      <c r="D64" s="41" t="inlineStr">
        <is>
          <t>GEN-317</t>
        </is>
      </c>
      <c r="E64" s="42" t="n">
        <v>39</v>
      </c>
      <c r="F64" s="42" t="n">
        <v>17</v>
      </c>
      <c r="G64" s="43" t="n">
        <v>0.4359</v>
      </c>
      <c r="H64" s="43" t="n">
        <v>0.4032</v>
      </c>
      <c r="I64" s="43" t="n">
        <v>0.2716</v>
      </c>
      <c r="J64" s="43" t="n">
        <v>0.5423</v>
      </c>
      <c r="K64" s="41" t="inlineStr">
        <is>
          <t>Alto</t>
        </is>
      </c>
    </row>
    <row r="65">
      <c r="A65" s="44" t="n">
        <v>15</v>
      </c>
      <c r="B65" s="24" t="inlineStr">
        <is>
          <t>3141029</t>
        </is>
      </c>
      <c r="C65" s="24" t="inlineStr">
        <is>
          <t>NOCTURNA</t>
        </is>
      </c>
      <c r="D65" s="24" t="inlineStr">
        <is>
          <t>GEN-314</t>
        </is>
      </c>
      <c r="E65" s="44" t="n">
        <v>30</v>
      </c>
      <c r="F65" s="44" t="n">
        <v>13</v>
      </c>
      <c r="G65" s="45" t="n">
        <v>0.4333</v>
      </c>
      <c r="H65" s="45" t="n">
        <v>0.3939</v>
      </c>
      <c r="I65" s="45" t="n">
        <v>0.2503</v>
      </c>
      <c r="J65" s="45" t="n">
        <v>0.5476</v>
      </c>
      <c r="K65" s="24" t="inlineStr">
        <is>
          <t>Medio</t>
        </is>
      </c>
    </row>
    <row r="67" ht="21" customHeight="1">
      <c r="A67" s="22" t="inlineStr">
        <is>
          <t>Priorización operativa de aprendices (sin nombres ni documentos)</t>
        </is>
      </c>
      <c r="B67" s="2" t="n"/>
      <c r="C67" s="2" t="n"/>
      <c r="D67" s="2" t="n"/>
      <c r="E67" s="2" t="n"/>
      <c r="F67" s="2" t="n"/>
      <c r="G67" s="2" t="n"/>
      <c r="H67" s="2" t="n"/>
      <c r="I67" s="2" t="n"/>
      <c r="J67" s="2" t="n"/>
      <c r="K67" s="2" t="n"/>
      <c r="L67" s="2" t="n"/>
      <c r="M67" s="2" t="n"/>
      <c r="N67" s="2" t="n"/>
    </row>
    <row r="68" ht="27" customHeight="1">
      <c r="A68" s="40" t="inlineStr">
        <is>
          <t>#</t>
        </is>
      </c>
      <c r="B68" s="40" t="inlineStr">
        <is>
          <t>Aprendiz (hash)</t>
        </is>
      </c>
      <c r="C68" s="40" t="inlineStr">
        <is>
          <t>Ficha</t>
        </is>
      </c>
      <c r="D68" s="40" t="inlineStr">
        <is>
          <t>Programa</t>
        </is>
      </c>
      <c r="E68" s="40" t="inlineStr">
        <is>
          <t>Jornada</t>
        </is>
      </c>
      <c r="F68" s="40" t="inlineStr">
        <is>
          <t>Prob. estimada</t>
        </is>
      </c>
      <c r="G68" s="40" t="inlineStr">
        <is>
          <t>Percentil</t>
        </is>
      </c>
      <c r="H68" s="40" t="inlineStr">
        <is>
          <t>Alerta</t>
        </is>
      </c>
      <c r="I68" s="40" t="inlineStr">
        <is>
          <t>Prioridad</t>
        </is>
      </c>
      <c r="J68" s="40" t="inlineStr">
        <is>
          <t>Motivo</t>
        </is>
      </c>
    </row>
    <row r="69">
      <c r="A69" s="44" t="n">
        <v>1</v>
      </c>
      <c r="B69" s="24" t="inlineStr">
        <is>
          <t>APR-CE432EDD4D</t>
        </is>
      </c>
      <c r="C69" s="24" t="inlineStr">
        <is>
          <t>3141025</t>
        </is>
      </c>
      <c r="D69" s="24" t="inlineStr">
        <is>
          <t>Sistemas Integrados de Gestión</t>
        </is>
      </c>
      <c r="E69" s="24" t="inlineStr">
        <is>
          <t>NOCTURNA</t>
        </is>
      </c>
      <c r="F69" s="45" t="n">
        <v>0.876</v>
      </c>
      <c r="G69" s="53" t="n">
        <v>100</v>
      </c>
      <c r="H69" s="24" t="inlineStr">
        <is>
          <t>Alto</t>
        </is>
      </c>
      <c r="I69" s="24" t="inlineStr">
        <is>
          <t>Inmediata</t>
        </is>
      </c>
      <c r="J69" s="24" t="inlineStr">
        <is>
          <t>Ficha crítica; Probabilidad estructural alta; Contacto incompleto</t>
        </is>
      </c>
    </row>
    <row r="70">
      <c r="A70" s="42" t="n">
        <v>2</v>
      </c>
      <c r="B70" s="41" t="inlineStr">
        <is>
          <t>APR-1B9061CBA6</t>
        </is>
      </c>
      <c r="C70" s="41" t="inlineStr">
        <is>
          <t>3141025</t>
        </is>
      </c>
      <c r="D70" s="41" t="inlineStr">
        <is>
          <t>Sistemas Integrados de Gestión</t>
        </is>
      </c>
      <c r="E70" s="41" t="inlineStr">
        <is>
          <t>NOCTURNA</t>
        </is>
      </c>
      <c r="F70" s="43" t="n">
        <v>0.7536</v>
      </c>
      <c r="G70" s="54" t="n">
        <v>99.3</v>
      </c>
      <c r="H70" s="41" t="inlineStr">
        <is>
          <t>Alto</t>
        </is>
      </c>
      <c r="I70" s="41" t="inlineStr">
        <is>
          <t>Inmediata</t>
        </is>
      </c>
      <c r="J70" s="41" t="inlineStr">
        <is>
          <t>Ficha crítica; Probabilidad estructural alta</t>
        </is>
      </c>
    </row>
    <row r="71">
      <c r="A71" s="44" t="n">
        <v>3</v>
      </c>
      <c r="B71" s="24" t="inlineStr">
        <is>
          <t>APR-E19C8D88E4</t>
        </is>
      </c>
      <c r="C71" s="24" t="inlineStr">
        <is>
          <t>3141025</t>
        </is>
      </c>
      <c r="D71" s="24" t="inlineStr">
        <is>
          <t>Sistemas Integrados de Gestión</t>
        </is>
      </c>
      <c r="E71" s="24" t="inlineStr">
        <is>
          <t>NOCTURNA</t>
        </is>
      </c>
      <c r="F71" s="45" t="n">
        <v>0.7536</v>
      </c>
      <c r="G71" s="53" t="n">
        <v>99.3</v>
      </c>
      <c r="H71" s="24" t="inlineStr">
        <is>
          <t>Alto</t>
        </is>
      </c>
      <c r="I71" s="24" t="inlineStr">
        <is>
          <t>Inmediata</t>
        </is>
      </c>
      <c r="J71" s="24" t="inlineStr">
        <is>
          <t>Ficha crítica; Probabilidad estructural alta</t>
        </is>
      </c>
    </row>
    <row r="72">
      <c r="A72" s="42" t="n">
        <v>4</v>
      </c>
      <c r="B72" s="41" t="inlineStr">
        <is>
          <t>APR-B5BBE921ED</t>
        </is>
      </c>
      <c r="C72" s="41" t="inlineStr">
        <is>
          <t>3141025</t>
        </is>
      </c>
      <c r="D72" s="41" t="inlineStr">
        <is>
          <t>Sistemas Integrados de Gestión</t>
        </is>
      </c>
      <c r="E72" s="41" t="inlineStr">
        <is>
          <t>NOCTURNA</t>
        </is>
      </c>
      <c r="F72" s="43" t="n">
        <v>0.7536</v>
      </c>
      <c r="G72" s="54" t="n">
        <v>99.3</v>
      </c>
      <c r="H72" s="41" t="inlineStr">
        <is>
          <t>Alto</t>
        </is>
      </c>
      <c r="I72" s="41" t="inlineStr">
        <is>
          <t>Inmediata</t>
        </is>
      </c>
      <c r="J72" s="41" t="inlineStr">
        <is>
          <t>Ficha crítica; Probabilidad estructural alta</t>
        </is>
      </c>
    </row>
    <row r="73">
      <c r="A73" s="44" t="n">
        <v>5</v>
      </c>
      <c r="B73" s="24" t="inlineStr">
        <is>
          <t>APR-FD46A9E4AD</t>
        </is>
      </c>
      <c r="C73" s="24" t="inlineStr">
        <is>
          <t>3141025</t>
        </is>
      </c>
      <c r="D73" s="24" t="inlineStr">
        <is>
          <t>Sistemas Integrados de Gestión</t>
        </is>
      </c>
      <c r="E73" s="24" t="inlineStr">
        <is>
          <t>NOCTURNA</t>
        </is>
      </c>
      <c r="F73" s="45" t="n">
        <v>0.7536</v>
      </c>
      <c r="G73" s="53" t="n">
        <v>99.3</v>
      </c>
      <c r="H73" s="24" t="inlineStr">
        <is>
          <t>Alto</t>
        </is>
      </c>
      <c r="I73" s="24" t="inlineStr">
        <is>
          <t>Inmediata</t>
        </is>
      </c>
      <c r="J73" s="24" t="inlineStr">
        <is>
          <t>Ficha crítica; Probabilidad estructural alta</t>
        </is>
      </c>
    </row>
    <row r="74">
      <c r="A74" s="42" t="n">
        <v>6</v>
      </c>
      <c r="B74" s="41" t="inlineStr">
        <is>
          <t>APR-BB99D17E0C</t>
        </is>
      </c>
      <c r="C74" s="41" t="inlineStr">
        <is>
          <t>3141025</t>
        </is>
      </c>
      <c r="D74" s="41" t="inlineStr">
        <is>
          <t>Sistemas Integrados de Gestión</t>
        </is>
      </c>
      <c r="E74" s="41" t="inlineStr">
        <is>
          <t>NOCTURNA</t>
        </is>
      </c>
      <c r="F74" s="43" t="n">
        <v>0.7536</v>
      </c>
      <c r="G74" s="54" t="n">
        <v>99.3</v>
      </c>
      <c r="H74" s="41" t="inlineStr">
        <is>
          <t>Alto</t>
        </is>
      </c>
      <c r="I74" s="41" t="inlineStr">
        <is>
          <t>Inmediata</t>
        </is>
      </c>
      <c r="J74" s="41" t="inlineStr">
        <is>
          <t>Ficha crítica; Probabilidad estructural alta</t>
        </is>
      </c>
    </row>
    <row r="75">
      <c r="A75" s="44" t="n">
        <v>7</v>
      </c>
      <c r="B75" s="24" t="inlineStr">
        <is>
          <t>APR-4614721052</t>
        </is>
      </c>
      <c r="C75" s="24" t="inlineStr">
        <is>
          <t>3141025</t>
        </is>
      </c>
      <c r="D75" s="24" t="inlineStr">
        <is>
          <t>Sistemas Integrados de Gestión</t>
        </is>
      </c>
      <c r="E75" s="24" t="inlineStr">
        <is>
          <t>NOCTURNA</t>
        </is>
      </c>
      <c r="F75" s="45" t="n">
        <v>0.7536</v>
      </c>
      <c r="G75" s="53" t="n">
        <v>99.3</v>
      </c>
      <c r="H75" s="24" t="inlineStr">
        <is>
          <t>Alto</t>
        </is>
      </c>
      <c r="I75" s="24" t="inlineStr">
        <is>
          <t>Inmediata</t>
        </is>
      </c>
      <c r="J75" s="24" t="inlineStr">
        <is>
          <t>Ficha crítica; Probabilidad estructural alta</t>
        </is>
      </c>
    </row>
    <row r="76">
      <c r="A76" s="42" t="n">
        <v>8</v>
      </c>
      <c r="B76" s="41" t="inlineStr">
        <is>
          <t>APR-080A78A78D</t>
        </is>
      </c>
      <c r="C76" s="41" t="inlineStr">
        <is>
          <t>3302143</t>
        </is>
      </c>
      <c r="D76" s="41" t="inlineStr">
        <is>
          <t>Sistemas Integrados de Gestión</t>
        </is>
      </c>
      <c r="E76" s="41" t="inlineStr">
        <is>
          <t>DIURNA</t>
        </is>
      </c>
      <c r="F76" s="43" t="n">
        <v>0.7528</v>
      </c>
      <c r="G76" s="54" t="n">
        <v>99.09999999999999</v>
      </c>
      <c r="H76" s="41" t="inlineStr">
        <is>
          <t>Alto</t>
        </is>
      </c>
      <c r="I76" s="41" t="inlineStr">
        <is>
          <t>Inmediata</t>
        </is>
      </c>
      <c r="J76" s="41" t="inlineStr">
        <is>
          <t>Ficha crítica; Probabilidad estructural alta; Contacto incompleto</t>
        </is>
      </c>
    </row>
    <row r="77">
      <c r="A77" s="44" t="n">
        <v>9</v>
      </c>
      <c r="B77" s="24" t="inlineStr">
        <is>
          <t>APR-48F5A94C32</t>
        </is>
      </c>
      <c r="C77" s="24" t="inlineStr">
        <is>
          <t>3141025</t>
        </is>
      </c>
      <c r="D77" s="24" t="inlineStr">
        <is>
          <t>Sistemas Integrados de Gestión</t>
        </is>
      </c>
      <c r="E77" s="24" t="inlineStr">
        <is>
          <t>NOCTURNA</t>
        </is>
      </c>
      <c r="F77" s="45" t="n">
        <v>0.7492</v>
      </c>
      <c r="G77" s="53" t="n">
        <v>99</v>
      </c>
      <c r="H77" s="24" t="inlineStr">
        <is>
          <t>Alto</t>
        </is>
      </c>
      <c r="I77" s="24" t="inlineStr">
        <is>
          <t>Inmediata</t>
        </is>
      </c>
      <c r="J77" s="24" t="inlineStr">
        <is>
          <t>Ficha crítica; Probabilidad estructural alta</t>
        </is>
      </c>
    </row>
    <row r="78">
      <c r="A78" s="42" t="n">
        <v>10</v>
      </c>
      <c r="B78" s="41" t="inlineStr">
        <is>
          <t>APR-84129DBC25</t>
        </is>
      </c>
      <c r="C78" s="41" t="inlineStr">
        <is>
          <t>3181464</t>
        </is>
      </c>
      <c r="D78" s="41" t="inlineStr">
        <is>
          <t>Sistemas Integrados de Gestión</t>
        </is>
      </c>
      <c r="E78" s="41" t="inlineStr">
        <is>
          <t>NOCTURNA</t>
        </is>
      </c>
      <c r="F78" s="43" t="n">
        <v>0.7324000000000001</v>
      </c>
      <c r="G78" s="54" t="n">
        <v>98.90000000000001</v>
      </c>
      <c r="H78" s="41" t="inlineStr">
        <is>
          <t>Alto</t>
        </is>
      </c>
      <c r="I78" s="41" t="inlineStr">
        <is>
          <t>Inmediata</t>
        </is>
      </c>
      <c r="J78" s="41" t="inlineStr">
        <is>
          <t>Ficha crítica; Probabilidad estructural alta; Contacto incompleto</t>
        </is>
      </c>
    </row>
    <row r="79">
      <c r="A79" s="44" t="n">
        <v>11</v>
      </c>
      <c r="B79" s="24" t="inlineStr">
        <is>
          <t>APR-726A6315B9</t>
        </is>
      </c>
      <c r="C79" s="24" t="inlineStr">
        <is>
          <t>3145899</t>
        </is>
      </c>
      <c r="D79" s="24" t="inlineStr">
        <is>
          <t>Química Aplicada</t>
        </is>
      </c>
      <c r="E79" s="24" t="inlineStr">
        <is>
          <t>DIURNA</t>
        </is>
      </c>
      <c r="F79" s="45" t="n">
        <v>0.7176</v>
      </c>
      <c r="G79" s="53" t="n">
        <v>98.90000000000001</v>
      </c>
      <c r="H79" s="24" t="inlineStr">
        <is>
          <t>Alto</t>
        </is>
      </c>
      <c r="I79" s="24" t="inlineStr">
        <is>
          <t>Inmediata</t>
        </is>
      </c>
      <c r="J79" s="24" t="inlineStr">
        <is>
          <t>Ficha crítica; Probabilidad estructural alta; Contacto incompleto</t>
        </is>
      </c>
    </row>
    <row r="80">
      <c r="A80" s="42" t="n">
        <v>12</v>
      </c>
      <c r="B80" s="41" t="inlineStr">
        <is>
          <t>APR-C023E419B9</t>
        </is>
      </c>
      <c r="C80" s="41" t="inlineStr">
        <is>
          <t>3302821</t>
        </is>
      </c>
      <c r="D80" s="41" t="inlineStr">
        <is>
          <t>Sistemas Integrados de Gestión</t>
        </is>
      </c>
      <c r="E80" s="41" t="inlineStr">
        <is>
          <t>NOCTURNA</t>
        </is>
      </c>
      <c r="F80" s="43" t="n">
        <v>0.7157</v>
      </c>
      <c r="G80" s="54" t="n">
        <v>98.7</v>
      </c>
      <c r="H80" s="41" t="inlineStr">
        <is>
          <t>Alto</t>
        </is>
      </c>
      <c r="I80" s="41" t="inlineStr">
        <is>
          <t>Inmediata</t>
        </is>
      </c>
      <c r="J80" s="41" t="inlineStr">
        <is>
          <t>Ficha crítica; Probabilidad estructural alta; Contacto incompleto</t>
        </is>
      </c>
    </row>
    <row r="81">
      <c r="A81" s="44" t="n">
        <v>13</v>
      </c>
      <c r="B81" s="24" t="inlineStr">
        <is>
          <t>APR-CEADF7E3B9</t>
        </is>
      </c>
      <c r="C81" s="24" t="inlineStr">
        <is>
          <t>3145899</t>
        </is>
      </c>
      <c r="D81" s="24" t="inlineStr">
        <is>
          <t>Química Aplicada</t>
        </is>
      </c>
      <c r="E81" s="24" t="inlineStr">
        <is>
          <t>DIURNA</t>
        </is>
      </c>
      <c r="F81" s="45" t="n">
        <v>0.7054</v>
      </c>
      <c r="G81" s="53" t="n">
        <v>98.5</v>
      </c>
      <c r="H81" s="24" t="inlineStr">
        <is>
          <t>Alto</t>
        </is>
      </c>
      <c r="I81" s="24" t="inlineStr">
        <is>
          <t>Inmediata</t>
        </is>
      </c>
      <c r="J81" s="24" t="inlineStr">
        <is>
          <t>Ficha crítica; Probabilidad estructural alta; Contacto incompleto</t>
        </is>
      </c>
    </row>
    <row r="82">
      <c r="A82" s="42" t="n">
        <v>14</v>
      </c>
      <c r="B82" s="41" t="inlineStr">
        <is>
          <t>APR-929E383D1B</t>
        </is>
      </c>
      <c r="C82" s="41" t="inlineStr">
        <is>
          <t>3181464</t>
        </is>
      </c>
      <c r="D82" s="41" t="inlineStr">
        <is>
          <t>Sistemas Integrados de Gestión</t>
        </is>
      </c>
      <c r="E82" s="41" t="inlineStr">
        <is>
          <t>NOCTURNA</t>
        </is>
      </c>
      <c r="F82" s="43" t="n">
        <v>0.6733</v>
      </c>
      <c r="G82" s="54" t="n">
        <v>98</v>
      </c>
      <c r="H82" s="41" t="inlineStr">
        <is>
          <t>Alto</t>
        </is>
      </c>
      <c r="I82" s="41" t="inlineStr">
        <is>
          <t>Inmediata</t>
        </is>
      </c>
      <c r="J82" s="41" t="inlineStr">
        <is>
          <t>Ficha crítica; Probabilidad estructural alta; Contacto incompleto</t>
        </is>
      </c>
    </row>
    <row r="83">
      <c r="A83" s="44" t="n">
        <v>15</v>
      </c>
      <c r="B83" s="24" t="inlineStr">
        <is>
          <t>APR-AB38598DC1</t>
        </is>
      </c>
      <c r="C83" s="24" t="inlineStr">
        <is>
          <t>3181464</t>
        </is>
      </c>
      <c r="D83" s="24" t="inlineStr">
        <is>
          <t>Sistemas Integrados de Gestión</t>
        </is>
      </c>
      <c r="E83" s="24" t="inlineStr">
        <is>
          <t>NOCTURNA</t>
        </is>
      </c>
      <c r="F83" s="45" t="n">
        <v>0.6733</v>
      </c>
      <c r="G83" s="53" t="n">
        <v>98</v>
      </c>
      <c r="H83" s="24" t="inlineStr">
        <is>
          <t>Alto</t>
        </is>
      </c>
      <c r="I83" s="24" t="inlineStr">
        <is>
          <t>Inmediata</t>
        </is>
      </c>
      <c r="J83" s="24" t="inlineStr">
        <is>
          <t>Ficha crítica; Probabilidad estructural alta; Contacto incompleto</t>
        </is>
      </c>
    </row>
    <row r="84">
      <c r="A84" s="42" t="n">
        <v>16</v>
      </c>
      <c r="B84" s="41" t="inlineStr">
        <is>
          <t>APR-CA02DB4842</t>
        </is>
      </c>
      <c r="C84" s="41" t="inlineStr">
        <is>
          <t>3141025</t>
        </is>
      </c>
      <c r="D84" s="41" t="inlineStr">
        <is>
          <t>Sistemas Integrados de Gestión</t>
        </is>
      </c>
      <c r="E84" s="41" t="inlineStr">
        <is>
          <t>NOCTURNA</t>
        </is>
      </c>
      <c r="F84" s="43" t="n">
        <v>0.6686</v>
      </c>
      <c r="G84" s="54" t="n">
        <v>97.3</v>
      </c>
      <c r="H84" s="41" t="inlineStr">
        <is>
          <t>Alto</t>
        </is>
      </c>
      <c r="I84" s="41" t="inlineStr">
        <is>
          <t>Inmediata</t>
        </is>
      </c>
      <c r="J84" s="41" t="inlineStr">
        <is>
          <t>Ficha crítica; Probabilidad estructural alta</t>
        </is>
      </c>
    </row>
    <row r="85">
      <c r="A85" s="44" t="n">
        <v>17</v>
      </c>
      <c r="B85" s="24" t="inlineStr">
        <is>
          <t>APR-BB1E03FD09</t>
        </is>
      </c>
      <c r="C85" s="24" t="inlineStr">
        <is>
          <t>3141025</t>
        </is>
      </c>
      <c r="D85" s="24" t="inlineStr">
        <is>
          <t>Sistemas Integrados de Gestión</t>
        </is>
      </c>
      <c r="E85" s="24" t="inlineStr">
        <is>
          <t>NOCTURNA</t>
        </is>
      </c>
      <c r="F85" s="45" t="n">
        <v>0.6686</v>
      </c>
      <c r="G85" s="53" t="n">
        <v>97.3</v>
      </c>
      <c r="H85" s="24" t="inlineStr">
        <is>
          <t>Alto</t>
        </is>
      </c>
      <c r="I85" s="24" t="inlineStr">
        <is>
          <t>Inmediata</t>
        </is>
      </c>
      <c r="J85" s="24" t="inlineStr">
        <is>
          <t>Ficha crítica; Probabilidad estructural alta</t>
        </is>
      </c>
    </row>
    <row r="86">
      <c r="A86" s="42" t="n">
        <v>18</v>
      </c>
      <c r="B86" s="41" t="inlineStr">
        <is>
          <t>APR-B0E618D174</t>
        </is>
      </c>
      <c r="C86" s="41" t="inlineStr">
        <is>
          <t>3141025</t>
        </is>
      </c>
      <c r="D86" s="41" t="inlineStr">
        <is>
          <t>Sistemas Integrados de Gestión</t>
        </is>
      </c>
      <c r="E86" s="41" t="inlineStr">
        <is>
          <t>NOCTURNA</t>
        </is>
      </c>
      <c r="F86" s="43" t="n">
        <v>0.6686</v>
      </c>
      <c r="G86" s="54" t="n">
        <v>97.3</v>
      </c>
      <c r="H86" s="41" t="inlineStr">
        <is>
          <t>Alto</t>
        </is>
      </c>
      <c r="I86" s="41" t="inlineStr">
        <is>
          <t>Inmediata</t>
        </is>
      </c>
      <c r="J86" s="41" t="inlineStr">
        <is>
          <t>Ficha crítica; Probabilidad estructural alta</t>
        </is>
      </c>
    </row>
    <row r="87">
      <c r="A87" s="44" t="n">
        <v>19</v>
      </c>
      <c r="B87" s="24" t="inlineStr">
        <is>
          <t>APR-0F0FADBE51</t>
        </is>
      </c>
      <c r="C87" s="24" t="inlineStr">
        <is>
          <t>3141025</t>
        </is>
      </c>
      <c r="D87" s="24" t="inlineStr">
        <is>
          <t>Sistemas Integrados de Gestión</t>
        </is>
      </c>
      <c r="E87" s="24" t="inlineStr">
        <is>
          <t>NOCTURNA</t>
        </is>
      </c>
      <c r="F87" s="45" t="n">
        <v>0.6686</v>
      </c>
      <c r="G87" s="53" t="n">
        <v>97.3</v>
      </c>
      <c r="H87" s="24" t="inlineStr">
        <is>
          <t>Alto</t>
        </is>
      </c>
      <c r="I87" s="24" t="inlineStr">
        <is>
          <t>Inmediata</t>
        </is>
      </c>
      <c r="J87" s="24" t="inlineStr">
        <is>
          <t>Ficha crítica; Probabilidad estructural alta</t>
        </is>
      </c>
    </row>
    <row r="88">
      <c r="A88" s="42" t="n">
        <v>20</v>
      </c>
      <c r="B88" s="41" t="inlineStr">
        <is>
          <t>APR-D4B0CA5302</t>
        </is>
      </c>
      <c r="C88" s="41" t="inlineStr">
        <is>
          <t>3141025</t>
        </is>
      </c>
      <c r="D88" s="41" t="inlineStr">
        <is>
          <t>Sistemas Integrados de Gestión</t>
        </is>
      </c>
      <c r="E88" s="41" t="inlineStr">
        <is>
          <t>NOCTURNA</t>
        </is>
      </c>
      <c r="F88" s="43" t="n">
        <v>0.6686</v>
      </c>
      <c r="G88" s="54" t="n">
        <v>97.3</v>
      </c>
      <c r="H88" s="41" t="inlineStr">
        <is>
          <t>Alto</t>
        </is>
      </c>
      <c r="I88" s="41" t="inlineStr">
        <is>
          <t>Inmediata</t>
        </is>
      </c>
      <c r="J88" s="41" t="inlineStr">
        <is>
          <t>Ficha crítica; Probabilidad estructural alta</t>
        </is>
      </c>
    </row>
    <row r="89">
      <c r="A89" s="44" t="n">
        <v>21</v>
      </c>
      <c r="B89" s="24" t="inlineStr">
        <is>
          <t>APR-BF26D0982A</t>
        </is>
      </c>
      <c r="C89" s="24" t="inlineStr">
        <is>
          <t>3141025</t>
        </is>
      </c>
      <c r="D89" s="24" t="inlineStr">
        <is>
          <t>Sistemas Integrados de Gestión</t>
        </is>
      </c>
      <c r="E89" s="24" t="inlineStr">
        <is>
          <t>NOCTURNA</t>
        </is>
      </c>
      <c r="F89" s="45" t="n">
        <v>0.6686</v>
      </c>
      <c r="G89" s="53" t="n">
        <v>97.3</v>
      </c>
      <c r="H89" s="24" t="inlineStr">
        <is>
          <t>Alto</t>
        </is>
      </c>
      <c r="I89" s="24" t="inlineStr">
        <is>
          <t>Inmediata</t>
        </is>
      </c>
      <c r="J89" s="24" t="inlineStr">
        <is>
          <t>Ficha crítica; Probabilidad estructural alta</t>
        </is>
      </c>
    </row>
    <row r="90">
      <c r="A90" s="42" t="n">
        <v>22</v>
      </c>
      <c r="B90" s="41" t="inlineStr">
        <is>
          <t>APR-87AF4A87B5</t>
        </is>
      </c>
      <c r="C90" s="41" t="inlineStr">
        <is>
          <t>3141025</t>
        </is>
      </c>
      <c r="D90" s="41" t="inlineStr">
        <is>
          <t>Sistemas Integrados de Gestión</t>
        </is>
      </c>
      <c r="E90" s="41" t="inlineStr">
        <is>
          <t>NOCTURNA</t>
        </is>
      </c>
      <c r="F90" s="43" t="n">
        <v>0.6686</v>
      </c>
      <c r="G90" s="54" t="n">
        <v>97.3</v>
      </c>
      <c r="H90" s="41" t="inlineStr">
        <is>
          <t>Alto</t>
        </is>
      </c>
      <c r="I90" s="41" t="inlineStr">
        <is>
          <t>Inmediata</t>
        </is>
      </c>
      <c r="J90" s="41" t="inlineStr">
        <is>
          <t>Ficha crítica; Probabilidad estructural alta</t>
        </is>
      </c>
    </row>
    <row r="91">
      <c r="A91" s="44" t="n">
        <v>23</v>
      </c>
      <c r="B91" s="24" t="inlineStr">
        <is>
          <t>APR-0CAC1D085A</t>
        </is>
      </c>
      <c r="C91" s="24" t="inlineStr">
        <is>
          <t>3141025</t>
        </is>
      </c>
      <c r="D91" s="24" t="inlineStr">
        <is>
          <t>Sistemas Integrados de Gestión</t>
        </is>
      </c>
      <c r="E91" s="24" t="inlineStr">
        <is>
          <t>NOCTURNA</t>
        </is>
      </c>
      <c r="F91" s="45" t="n">
        <v>0.6686</v>
      </c>
      <c r="G91" s="53" t="n">
        <v>97.3</v>
      </c>
      <c r="H91" s="24" t="inlineStr">
        <is>
          <t>Alto</t>
        </is>
      </c>
      <c r="I91" s="24" t="inlineStr">
        <is>
          <t>Inmediata</t>
        </is>
      </c>
      <c r="J91" s="24" t="inlineStr">
        <is>
          <t>Ficha crítica; Probabilidad estructural alta</t>
        </is>
      </c>
    </row>
    <row r="92">
      <c r="A92" s="42" t="n">
        <v>24</v>
      </c>
      <c r="B92" s="41" t="inlineStr">
        <is>
          <t>APR-F7D67BC576</t>
        </is>
      </c>
      <c r="C92" s="41" t="inlineStr">
        <is>
          <t>3141025</t>
        </is>
      </c>
      <c r="D92" s="41" t="inlineStr">
        <is>
          <t>Sistemas Integrados de Gestión</t>
        </is>
      </c>
      <c r="E92" s="41" t="inlineStr">
        <is>
          <t>NOCTURNA</t>
        </is>
      </c>
      <c r="F92" s="43" t="n">
        <v>0.6686</v>
      </c>
      <c r="G92" s="54" t="n">
        <v>97.3</v>
      </c>
      <c r="H92" s="41" t="inlineStr">
        <is>
          <t>Alto</t>
        </is>
      </c>
      <c r="I92" s="41" t="inlineStr">
        <is>
          <t>Inmediata</t>
        </is>
      </c>
      <c r="J92" s="41" t="inlineStr">
        <is>
          <t>Ficha crítica; Probabilidad estructural alta</t>
        </is>
      </c>
    </row>
    <row r="93">
      <c r="A93" s="44" t="n">
        <v>25</v>
      </c>
      <c r="B93" s="24" t="inlineStr">
        <is>
          <t>APR-5023E761D7</t>
        </is>
      </c>
      <c r="C93" s="24" t="inlineStr">
        <is>
          <t>3141025</t>
        </is>
      </c>
      <c r="D93" s="24" t="inlineStr">
        <is>
          <t>Sistemas Integrados de Gestión</t>
        </is>
      </c>
      <c r="E93" s="24" t="inlineStr">
        <is>
          <t>NOCTURNA</t>
        </is>
      </c>
      <c r="F93" s="45" t="n">
        <v>0.6686</v>
      </c>
      <c r="G93" s="53" t="n">
        <v>97.3</v>
      </c>
      <c r="H93" s="24" t="inlineStr">
        <is>
          <t>Alto</t>
        </is>
      </c>
      <c r="I93" s="24" t="inlineStr">
        <is>
          <t>Inmediata</t>
        </is>
      </c>
      <c r="J93" s="24" t="inlineStr">
        <is>
          <t>Ficha crítica; Probabilidad estructural alta</t>
        </is>
      </c>
    </row>
    <row r="94">
      <c r="A94" s="42" t="n">
        <v>26</v>
      </c>
      <c r="B94" s="41" t="inlineStr">
        <is>
          <t>APR-C8BEB4ACB4</t>
        </is>
      </c>
      <c r="C94" s="41" t="inlineStr">
        <is>
          <t>3141025</t>
        </is>
      </c>
      <c r="D94" s="41" t="inlineStr">
        <is>
          <t>Sistemas Integrados de Gestión</t>
        </is>
      </c>
      <c r="E94" s="41" t="inlineStr">
        <is>
          <t>NOCTURNA</t>
        </is>
      </c>
      <c r="F94" s="43" t="n">
        <v>0.6686</v>
      </c>
      <c r="G94" s="54" t="n">
        <v>97.3</v>
      </c>
      <c r="H94" s="41" t="inlineStr">
        <is>
          <t>Alto</t>
        </is>
      </c>
      <c r="I94" s="41" t="inlineStr">
        <is>
          <t>Inmediata</t>
        </is>
      </c>
      <c r="J94" s="41" t="inlineStr">
        <is>
          <t>Ficha crítica; Probabilidad estructural alta</t>
        </is>
      </c>
    </row>
    <row r="95">
      <c r="A95" s="44" t="n">
        <v>27</v>
      </c>
      <c r="B95" s="24" t="inlineStr">
        <is>
          <t>APR-E14E1A605F</t>
        </is>
      </c>
      <c r="C95" s="24" t="inlineStr">
        <is>
          <t>3141025</t>
        </is>
      </c>
      <c r="D95" s="24" t="inlineStr">
        <is>
          <t>Sistemas Integrados de Gestión</t>
        </is>
      </c>
      <c r="E95" s="24" t="inlineStr">
        <is>
          <t>NOCTURNA</t>
        </is>
      </c>
      <c r="F95" s="45" t="n">
        <v>0.6686</v>
      </c>
      <c r="G95" s="53" t="n">
        <v>97.3</v>
      </c>
      <c r="H95" s="24" t="inlineStr">
        <is>
          <t>Alto</t>
        </is>
      </c>
      <c r="I95" s="24" t="inlineStr">
        <is>
          <t>Inmediata</t>
        </is>
      </c>
      <c r="J95" s="24" t="inlineStr">
        <is>
          <t>Ficha crítica; Probabilidad estructural alta</t>
        </is>
      </c>
    </row>
    <row r="96">
      <c r="A96" s="42" t="n">
        <v>28</v>
      </c>
      <c r="B96" s="41" t="inlineStr">
        <is>
          <t>APR-5C411B1AB9</t>
        </is>
      </c>
      <c r="C96" s="41" t="inlineStr">
        <is>
          <t>3141025</t>
        </is>
      </c>
      <c r="D96" s="41" t="inlineStr">
        <is>
          <t>Sistemas Integrados de Gestión</t>
        </is>
      </c>
      <c r="E96" s="41" t="inlineStr">
        <is>
          <t>NOCTURNA</t>
        </is>
      </c>
      <c r="F96" s="43" t="n">
        <v>0.6686</v>
      </c>
      <c r="G96" s="54" t="n">
        <v>97.3</v>
      </c>
      <c r="H96" s="41" t="inlineStr">
        <is>
          <t>Alto</t>
        </is>
      </c>
      <c r="I96" s="41" t="inlineStr">
        <is>
          <t>Inmediata</t>
        </is>
      </c>
      <c r="J96" s="41" t="inlineStr">
        <is>
          <t>Ficha crítica; Probabilidad estructural alta</t>
        </is>
      </c>
    </row>
    <row r="97">
      <c r="A97" s="44" t="n">
        <v>29</v>
      </c>
      <c r="B97" s="24" t="inlineStr">
        <is>
          <t>APR-3EE0965C8B</t>
        </is>
      </c>
      <c r="C97" s="24" t="inlineStr">
        <is>
          <t>3141025</t>
        </is>
      </c>
      <c r="D97" s="24" t="inlineStr">
        <is>
          <t>Sistemas Integrados de Gestión</t>
        </is>
      </c>
      <c r="E97" s="24" t="inlineStr">
        <is>
          <t>NOCTURNA</t>
        </is>
      </c>
      <c r="F97" s="45" t="n">
        <v>0.6686</v>
      </c>
      <c r="G97" s="53" t="n">
        <v>97.3</v>
      </c>
      <c r="H97" s="24" t="inlineStr">
        <is>
          <t>Alto</t>
        </is>
      </c>
      <c r="I97" s="24" t="inlineStr">
        <is>
          <t>Inmediata</t>
        </is>
      </c>
      <c r="J97" s="24" t="inlineStr">
        <is>
          <t>Ficha crítica; Probabilidad estructural alta</t>
        </is>
      </c>
    </row>
    <row r="98">
      <c r="A98" s="42" t="n">
        <v>30</v>
      </c>
      <c r="B98" s="41" t="inlineStr">
        <is>
          <t>APR-D5E263735A</t>
        </is>
      </c>
      <c r="C98" s="41" t="inlineStr">
        <is>
          <t>3141025</t>
        </is>
      </c>
      <c r="D98" s="41" t="inlineStr">
        <is>
          <t>Sistemas Integrados de Gestión</t>
        </is>
      </c>
      <c r="E98" s="41" t="inlineStr">
        <is>
          <t>NOCTURNA</t>
        </is>
      </c>
      <c r="F98" s="43" t="n">
        <v>0.6686</v>
      </c>
      <c r="G98" s="54" t="n">
        <v>97.3</v>
      </c>
      <c r="H98" s="41" t="inlineStr">
        <is>
          <t>Alto</t>
        </is>
      </c>
      <c r="I98" s="41" t="inlineStr">
        <is>
          <t>Inmediata</t>
        </is>
      </c>
      <c r="J98" s="41" t="inlineStr">
        <is>
          <t>Ficha crítica; Probabilidad estructural alta</t>
        </is>
      </c>
    </row>
    <row r="99">
      <c r="A99" s="44" t="n">
        <v>31</v>
      </c>
      <c r="B99" s="24" t="inlineStr">
        <is>
          <t>APR-2A94A40EB0</t>
        </is>
      </c>
      <c r="C99" s="24" t="inlineStr">
        <is>
          <t>3141025</t>
        </is>
      </c>
      <c r="D99" s="24" t="inlineStr">
        <is>
          <t>Sistemas Integrados de Gestión</t>
        </is>
      </c>
      <c r="E99" s="24" t="inlineStr">
        <is>
          <t>NOCTURNA</t>
        </is>
      </c>
      <c r="F99" s="45" t="n">
        <v>0.6686</v>
      </c>
      <c r="G99" s="53" t="n">
        <v>97.3</v>
      </c>
      <c r="H99" s="24" t="inlineStr">
        <is>
          <t>Alto</t>
        </is>
      </c>
      <c r="I99" s="24" t="inlineStr">
        <is>
          <t>Inmediata</t>
        </is>
      </c>
      <c r="J99" s="24" t="inlineStr">
        <is>
          <t>Ficha crítica; Probabilidad estructural alta</t>
        </is>
      </c>
    </row>
    <row r="100">
      <c r="A100" s="42" t="n">
        <v>32</v>
      </c>
      <c r="B100" s="41" t="inlineStr">
        <is>
          <t>APR-AFAF96AE4A</t>
        </is>
      </c>
      <c r="C100" s="41" t="inlineStr">
        <is>
          <t>3141025</t>
        </is>
      </c>
      <c r="D100" s="41" t="inlineStr">
        <is>
          <t>Sistemas Integrados de Gestión</t>
        </is>
      </c>
      <c r="E100" s="41" t="inlineStr">
        <is>
          <t>NOCTURNA</t>
        </is>
      </c>
      <c r="F100" s="43" t="n">
        <v>0.6686</v>
      </c>
      <c r="G100" s="54" t="n">
        <v>97.3</v>
      </c>
      <c r="H100" s="41" t="inlineStr">
        <is>
          <t>Alto</t>
        </is>
      </c>
      <c r="I100" s="41" t="inlineStr">
        <is>
          <t>Inmediata</t>
        </is>
      </c>
      <c r="J100" s="41" t="inlineStr">
        <is>
          <t>Ficha crítica; Probabilidad estructural alta</t>
        </is>
      </c>
    </row>
    <row r="101">
      <c r="A101" s="44" t="n">
        <v>33</v>
      </c>
      <c r="B101" s="24" t="inlineStr">
        <is>
          <t>APR-76DEC115C0</t>
        </is>
      </c>
      <c r="C101" s="24" t="inlineStr">
        <is>
          <t>3141025</t>
        </is>
      </c>
      <c r="D101" s="24" t="inlineStr">
        <is>
          <t>Sistemas Integrados de Gestión</t>
        </is>
      </c>
      <c r="E101" s="24" t="inlineStr">
        <is>
          <t>NOCTURNA</t>
        </is>
      </c>
      <c r="F101" s="45" t="n">
        <v>0.6686</v>
      </c>
      <c r="G101" s="53" t="n">
        <v>97.3</v>
      </c>
      <c r="H101" s="24" t="inlineStr">
        <is>
          <t>Alto</t>
        </is>
      </c>
      <c r="I101" s="24" t="inlineStr">
        <is>
          <t>Inmediata</t>
        </is>
      </c>
      <c r="J101" s="24" t="inlineStr">
        <is>
          <t>Ficha crítica; Probabilidad estructural alta</t>
        </is>
      </c>
    </row>
    <row r="102">
      <c r="A102" s="42" t="n">
        <v>34</v>
      </c>
      <c r="B102" s="41" t="inlineStr">
        <is>
          <t>APR-227D80B3DC</t>
        </is>
      </c>
      <c r="C102" s="41" t="inlineStr">
        <is>
          <t>3141025</t>
        </is>
      </c>
      <c r="D102" s="41" t="inlineStr">
        <is>
          <t>Sistemas Integrados de Gestión</t>
        </is>
      </c>
      <c r="E102" s="41" t="inlineStr">
        <is>
          <t>NOCTURNA</t>
        </is>
      </c>
      <c r="F102" s="43" t="n">
        <v>0.6686</v>
      </c>
      <c r="G102" s="54" t="n">
        <v>97.3</v>
      </c>
      <c r="H102" s="41" t="inlineStr">
        <is>
          <t>Alto</t>
        </is>
      </c>
      <c r="I102" s="41" t="inlineStr">
        <is>
          <t>Inmediata</t>
        </is>
      </c>
      <c r="J102" s="41" t="inlineStr">
        <is>
          <t>Ficha crítica; Probabilidad estructural alta</t>
        </is>
      </c>
    </row>
    <row r="103">
      <c r="A103" s="44" t="n">
        <v>35</v>
      </c>
      <c r="B103" s="24" t="inlineStr">
        <is>
          <t>APR-995E2D8135</t>
        </is>
      </c>
      <c r="C103" s="24" t="inlineStr">
        <is>
          <t>3141025</t>
        </is>
      </c>
      <c r="D103" s="24" t="inlineStr">
        <is>
          <t>Sistemas Integrados de Gestión</t>
        </is>
      </c>
      <c r="E103" s="24" t="inlineStr">
        <is>
          <t>NOCTURNA</t>
        </is>
      </c>
      <c r="F103" s="45" t="n">
        <v>0.6686</v>
      </c>
      <c r="G103" s="53" t="n">
        <v>97.3</v>
      </c>
      <c r="H103" s="24" t="inlineStr">
        <is>
          <t>Alto</t>
        </is>
      </c>
      <c r="I103" s="24" t="inlineStr">
        <is>
          <t>Inmediata</t>
        </is>
      </c>
      <c r="J103" s="24" t="inlineStr">
        <is>
          <t>Ficha crítica; Probabilidad estructural alta</t>
        </is>
      </c>
    </row>
    <row r="104">
      <c r="A104" s="42" t="n">
        <v>36</v>
      </c>
      <c r="B104" s="41" t="inlineStr">
        <is>
          <t>APR-0A63DD18FB</t>
        </is>
      </c>
      <c r="C104" s="41" t="inlineStr">
        <is>
          <t>3141025</t>
        </is>
      </c>
      <c r="D104" s="41" t="inlineStr">
        <is>
          <t>Sistemas Integrados de Gestión</t>
        </is>
      </c>
      <c r="E104" s="41" t="inlineStr">
        <is>
          <t>NOCTURNA</t>
        </is>
      </c>
      <c r="F104" s="43" t="n">
        <v>0.6686</v>
      </c>
      <c r="G104" s="54" t="n">
        <v>97.3</v>
      </c>
      <c r="H104" s="41" t="inlineStr">
        <is>
          <t>Alto</t>
        </is>
      </c>
      <c r="I104" s="41" t="inlineStr">
        <is>
          <t>Inmediata</t>
        </is>
      </c>
      <c r="J104" s="41" t="inlineStr">
        <is>
          <t>Ficha crítica; Probabilidad estructural alta</t>
        </is>
      </c>
    </row>
    <row r="105">
      <c r="A105" s="44" t="n">
        <v>37</v>
      </c>
      <c r="B105" s="24" t="inlineStr">
        <is>
          <t>APR-7E7BFAECE0</t>
        </is>
      </c>
      <c r="C105" s="24" t="inlineStr">
        <is>
          <t>3141025</t>
        </is>
      </c>
      <c r="D105" s="24" t="inlineStr">
        <is>
          <t>Sistemas Integrados de Gestión</t>
        </is>
      </c>
      <c r="E105" s="24" t="inlineStr">
        <is>
          <t>NOCTURNA</t>
        </is>
      </c>
      <c r="F105" s="45" t="n">
        <v>0.6686</v>
      </c>
      <c r="G105" s="53" t="n">
        <v>97.3</v>
      </c>
      <c r="H105" s="24" t="inlineStr">
        <is>
          <t>Alto</t>
        </is>
      </c>
      <c r="I105" s="24" t="inlineStr">
        <is>
          <t>Inmediata</t>
        </is>
      </c>
      <c r="J105" s="24" t="inlineStr">
        <is>
          <t>Ficha crítica; Probabilidad estructural alta</t>
        </is>
      </c>
    </row>
    <row r="106">
      <c r="A106" s="42" t="n">
        <v>38</v>
      </c>
      <c r="B106" s="41" t="inlineStr">
        <is>
          <t>APR-1BEA971C8B</t>
        </is>
      </c>
      <c r="C106" s="41" t="inlineStr">
        <is>
          <t>3302821</t>
        </is>
      </c>
      <c r="D106" s="41" t="inlineStr">
        <is>
          <t>Sistemas Integrados de Gestión</t>
        </is>
      </c>
      <c r="E106" s="41" t="inlineStr">
        <is>
          <t>NOCTURNA</t>
        </is>
      </c>
      <c r="F106" s="43" t="n">
        <v>0.6505</v>
      </c>
      <c r="G106" s="54" t="n">
        <v>96.40000000000001</v>
      </c>
      <c r="H106" s="41" t="inlineStr">
        <is>
          <t>Alto</t>
        </is>
      </c>
      <c r="I106" s="41" t="inlineStr">
        <is>
          <t>Inmediata</t>
        </is>
      </c>
      <c r="J106" s="41" t="inlineStr">
        <is>
          <t>Ficha crítica; Probabilidad estructural alta; Contacto incompleto</t>
        </is>
      </c>
    </row>
    <row r="107">
      <c r="A107" s="44" t="n">
        <v>39</v>
      </c>
      <c r="B107" s="24" t="inlineStr">
        <is>
          <t>APR-5B7347B31D</t>
        </is>
      </c>
      <c r="C107" s="24" t="inlineStr">
        <is>
          <t>3302821</t>
        </is>
      </c>
      <c r="D107" s="24" t="inlineStr">
        <is>
          <t>Sistemas Integrados de Gestión</t>
        </is>
      </c>
      <c r="E107" s="24" t="inlineStr">
        <is>
          <t>NOCTURNA</t>
        </is>
      </c>
      <c r="F107" s="45" t="n">
        <v>0.6505</v>
      </c>
      <c r="G107" s="53" t="n">
        <v>96.40000000000001</v>
      </c>
      <c r="H107" s="24" t="inlineStr">
        <is>
          <t>Alto</t>
        </is>
      </c>
      <c r="I107" s="24" t="inlineStr">
        <is>
          <t>Inmediata</t>
        </is>
      </c>
      <c r="J107" s="24" t="inlineStr">
        <is>
          <t>Ficha crítica; Probabilidad estructural alta; Contacto incompleto</t>
        </is>
      </c>
    </row>
    <row r="108">
      <c r="A108" s="42" t="n">
        <v>40</v>
      </c>
      <c r="B108" s="41" t="inlineStr">
        <is>
          <t>APR-43710F3C84</t>
        </is>
      </c>
      <c r="C108" s="41" t="inlineStr">
        <is>
          <t>3181464</t>
        </is>
      </c>
      <c r="D108" s="41" t="inlineStr">
        <is>
          <t>Sistemas Integrados de Gestión</t>
        </is>
      </c>
      <c r="E108" s="41" t="inlineStr">
        <is>
          <t>NOCTURNA</t>
        </is>
      </c>
      <c r="F108" s="43" t="n">
        <v>0.6375</v>
      </c>
      <c r="G108" s="54" t="n">
        <v>94.3</v>
      </c>
      <c r="H108" s="41" t="inlineStr">
        <is>
          <t>Alto</t>
        </is>
      </c>
      <c r="I108" s="41" t="inlineStr">
        <is>
          <t>Inmediata</t>
        </is>
      </c>
      <c r="J108" s="41" t="inlineStr">
        <is>
          <t>Ficha crítica; Probabilidad estructural alta</t>
        </is>
      </c>
    </row>
    <row r="109">
      <c r="A109" s="44" t="n">
        <v>41</v>
      </c>
      <c r="B109" s="24" t="inlineStr">
        <is>
          <t>APR-2194DAC1D8</t>
        </is>
      </c>
      <c r="C109" s="24" t="inlineStr">
        <is>
          <t>3181464</t>
        </is>
      </c>
      <c r="D109" s="24" t="inlineStr">
        <is>
          <t>Sistemas Integrados de Gestión</t>
        </is>
      </c>
      <c r="E109" s="24" t="inlineStr">
        <is>
          <t>NOCTURNA</t>
        </is>
      </c>
      <c r="F109" s="45" t="n">
        <v>0.6375</v>
      </c>
      <c r="G109" s="53" t="n">
        <v>94.3</v>
      </c>
      <c r="H109" s="24" t="inlineStr">
        <is>
          <t>Alto</t>
        </is>
      </c>
      <c r="I109" s="24" t="inlineStr">
        <is>
          <t>Inmediata</t>
        </is>
      </c>
      <c r="J109" s="24" t="inlineStr">
        <is>
          <t>Ficha crítica; Probabilidad estructural alta</t>
        </is>
      </c>
    </row>
    <row r="110">
      <c r="A110" s="42" t="n">
        <v>42</v>
      </c>
      <c r="B110" s="41" t="inlineStr">
        <is>
          <t>APR-8EEBBC9E21</t>
        </is>
      </c>
      <c r="C110" s="41" t="inlineStr">
        <is>
          <t>3145899</t>
        </is>
      </c>
      <c r="D110" s="41" t="inlineStr">
        <is>
          <t>Química Aplicada</t>
        </is>
      </c>
      <c r="E110" s="41" t="inlineStr">
        <is>
          <t>DIURNA</t>
        </is>
      </c>
      <c r="F110" s="43" t="n">
        <v>0.6167</v>
      </c>
      <c r="G110" s="54" t="n">
        <v>93.59999999999999</v>
      </c>
      <c r="H110" s="41" t="inlineStr">
        <is>
          <t>Alto</t>
        </is>
      </c>
      <c r="I110" s="41" t="inlineStr">
        <is>
          <t>Inmediata</t>
        </is>
      </c>
      <c r="J110" s="41" t="inlineStr">
        <is>
          <t>Ficha crítica; Probabilidad estructural alta</t>
        </is>
      </c>
    </row>
    <row r="111">
      <c r="A111" s="44" t="n">
        <v>43</v>
      </c>
      <c r="B111" s="24" t="inlineStr">
        <is>
          <t>APR-0686056E96</t>
        </is>
      </c>
      <c r="C111" s="24" t="inlineStr">
        <is>
          <t>3145899</t>
        </is>
      </c>
      <c r="D111" s="24" t="inlineStr">
        <is>
          <t>Química Aplicada</t>
        </is>
      </c>
      <c r="E111" s="24" t="inlineStr">
        <is>
          <t>DIURNA</t>
        </is>
      </c>
      <c r="F111" s="45" t="n">
        <v>0.6167</v>
      </c>
      <c r="G111" s="53" t="n">
        <v>93.59999999999999</v>
      </c>
      <c r="H111" s="24" t="inlineStr">
        <is>
          <t>Alto</t>
        </is>
      </c>
      <c r="I111" s="24" t="inlineStr">
        <is>
          <t>Inmediata</t>
        </is>
      </c>
      <c r="J111" s="24" t="inlineStr">
        <is>
          <t>Ficha crítica; Probabilidad estructural alta</t>
        </is>
      </c>
    </row>
    <row r="112">
      <c r="A112" s="42" t="n">
        <v>44</v>
      </c>
      <c r="B112" s="41" t="inlineStr">
        <is>
          <t>APR-9F5810510A</t>
        </is>
      </c>
      <c r="C112" s="41" t="inlineStr">
        <is>
          <t>3302143</t>
        </is>
      </c>
      <c r="D112" s="41" t="inlineStr">
        <is>
          <t>Sistemas Integrados de Gestión</t>
        </is>
      </c>
      <c r="E112" s="41" t="inlineStr">
        <is>
          <t>DIURNA</t>
        </is>
      </c>
      <c r="F112" s="43" t="n">
        <v>0.5935</v>
      </c>
      <c r="G112" s="54" t="n">
        <v>93.2</v>
      </c>
      <c r="H112" s="41" t="inlineStr">
        <is>
          <t>Alto</t>
        </is>
      </c>
      <c r="I112" s="41" t="inlineStr">
        <is>
          <t>Inmediata</t>
        </is>
      </c>
      <c r="J112" s="41" t="inlineStr">
        <is>
          <t>Ficha crítica; Probabilidad estructural alta; Contacto incompleto</t>
        </is>
      </c>
    </row>
    <row r="113">
      <c r="A113" s="44" t="n">
        <v>45</v>
      </c>
      <c r="B113" s="24" t="inlineStr">
        <is>
          <t>APR-939AFB33EF</t>
        </is>
      </c>
      <c r="C113" s="24" t="inlineStr">
        <is>
          <t>3302143</t>
        </is>
      </c>
      <c r="D113" s="24" t="inlineStr">
        <is>
          <t>Sistemas Integrados de Gestión</t>
        </is>
      </c>
      <c r="E113" s="24" t="inlineStr">
        <is>
          <t>DIURNA</t>
        </is>
      </c>
      <c r="F113" s="45" t="n">
        <v>0.5935</v>
      </c>
      <c r="G113" s="53" t="n">
        <v>93.2</v>
      </c>
      <c r="H113" s="24" t="inlineStr">
        <is>
          <t>Alto</t>
        </is>
      </c>
      <c r="I113" s="24" t="inlineStr">
        <is>
          <t>Inmediata</t>
        </is>
      </c>
      <c r="J113" s="24" t="inlineStr">
        <is>
          <t>Ficha crítica; Probabilidad estructural alta; Contacto incompleto</t>
        </is>
      </c>
    </row>
    <row r="114">
      <c r="A114" s="42" t="n">
        <v>46</v>
      </c>
      <c r="B114" s="41" t="inlineStr">
        <is>
          <t>APR-718E32D11D</t>
        </is>
      </c>
      <c r="C114" s="41" t="inlineStr">
        <is>
          <t>3302143</t>
        </is>
      </c>
      <c r="D114" s="41" t="inlineStr">
        <is>
          <t>Sistemas Integrados de Gestión</t>
        </is>
      </c>
      <c r="E114" s="41" t="inlineStr">
        <is>
          <t>DIURNA</t>
        </is>
      </c>
      <c r="F114" s="43" t="n">
        <v>0.5935</v>
      </c>
      <c r="G114" s="54" t="n">
        <v>93.2</v>
      </c>
      <c r="H114" s="41" t="inlineStr">
        <is>
          <t>Alto</t>
        </is>
      </c>
      <c r="I114" s="41" t="inlineStr">
        <is>
          <t>Inmediata</t>
        </is>
      </c>
      <c r="J114" s="41" t="inlineStr">
        <is>
          <t>Ficha crítica; Probabilidad estructural alta; Contacto incompleto</t>
        </is>
      </c>
    </row>
    <row r="115">
      <c r="A115" s="44" t="n">
        <v>47</v>
      </c>
      <c r="B115" s="24" t="inlineStr">
        <is>
          <t>APR-B04550A9CD</t>
        </is>
      </c>
      <c r="C115" s="24" t="inlineStr">
        <is>
          <t>3171493</t>
        </is>
      </c>
      <c r="D115" s="24" t="inlineStr">
        <is>
          <t>Producción Industrial</t>
        </is>
      </c>
      <c r="E115" s="24" t="inlineStr">
        <is>
          <t>NOCTURNA</t>
        </is>
      </c>
      <c r="F115" s="45" t="n">
        <v>0.5579</v>
      </c>
      <c r="G115" s="53" t="n">
        <v>92.40000000000001</v>
      </c>
      <c r="H115" s="24" t="inlineStr">
        <is>
          <t>Alto</t>
        </is>
      </c>
      <c r="I115" s="24" t="inlineStr">
        <is>
          <t>Inmediata</t>
        </is>
      </c>
      <c r="J115" s="24" t="inlineStr">
        <is>
          <t>Ficha crítica; Probabilidad estructural alta</t>
        </is>
      </c>
    </row>
    <row r="116">
      <c r="A116" s="42" t="n">
        <v>48</v>
      </c>
      <c r="B116" s="41" t="inlineStr">
        <is>
          <t>APR-0A0BA17E5C</t>
        </is>
      </c>
      <c r="C116" s="41" t="inlineStr">
        <is>
          <t>3171493</t>
        </is>
      </c>
      <c r="D116" s="41" t="inlineStr">
        <is>
          <t>Producción Industrial</t>
        </is>
      </c>
      <c r="E116" s="41" t="inlineStr">
        <is>
          <t>NOCTURNA</t>
        </is>
      </c>
      <c r="F116" s="43" t="n">
        <v>0.5579</v>
      </c>
      <c r="G116" s="54" t="n">
        <v>92.40000000000001</v>
      </c>
      <c r="H116" s="41" t="inlineStr">
        <is>
          <t>Alto</t>
        </is>
      </c>
      <c r="I116" s="41" t="inlineStr">
        <is>
          <t>Inmediata</t>
        </is>
      </c>
      <c r="J116" s="41" t="inlineStr">
        <is>
          <t>Ficha crítica; Probabilidad estructural alta</t>
        </is>
      </c>
    </row>
    <row r="117">
      <c r="A117" s="44" t="n">
        <v>49</v>
      </c>
      <c r="B117" s="24" t="inlineStr">
        <is>
          <t>APR-6CB0BF8677</t>
        </is>
      </c>
      <c r="C117" s="24" t="inlineStr">
        <is>
          <t>3171493</t>
        </is>
      </c>
      <c r="D117" s="24" t="inlineStr">
        <is>
          <t>Producción Industrial</t>
        </is>
      </c>
      <c r="E117" s="24" t="inlineStr">
        <is>
          <t>NOCTURNA</t>
        </is>
      </c>
      <c r="F117" s="45" t="n">
        <v>0.5579</v>
      </c>
      <c r="G117" s="53" t="n">
        <v>92.40000000000001</v>
      </c>
      <c r="H117" s="24" t="inlineStr">
        <is>
          <t>Alto</t>
        </is>
      </c>
      <c r="I117" s="24" t="inlineStr">
        <is>
          <t>Inmediata</t>
        </is>
      </c>
      <c r="J117" s="24" t="inlineStr">
        <is>
          <t>Ficha crítica; Probabilidad estructural alta</t>
        </is>
      </c>
    </row>
    <row r="118">
      <c r="A118" s="42" t="n">
        <v>50</v>
      </c>
      <c r="B118" s="41" t="inlineStr">
        <is>
          <t>APR-40354791E1</t>
        </is>
      </c>
      <c r="C118" s="41" t="inlineStr">
        <is>
          <t>3171493</t>
        </is>
      </c>
      <c r="D118" s="41" t="inlineStr">
        <is>
          <t>Producción Industrial</t>
        </is>
      </c>
      <c r="E118" s="41" t="inlineStr">
        <is>
          <t>NOCTURNA</t>
        </is>
      </c>
      <c r="F118" s="43" t="n">
        <v>0.5579</v>
      </c>
      <c r="G118" s="54" t="n">
        <v>92.40000000000001</v>
      </c>
      <c r="H118" s="41" t="inlineStr">
        <is>
          <t>Alto</t>
        </is>
      </c>
      <c r="I118" s="41" t="inlineStr">
        <is>
          <t>Inmediata</t>
        </is>
      </c>
      <c r="J118" s="41" t="inlineStr">
        <is>
          <t>Ficha crítica; Probabilidad estructural alta</t>
        </is>
      </c>
    </row>
    <row r="119">
      <c r="A119" s="44" t="n">
        <v>51</v>
      </c>
      <c r="B119" s="24" t="inlineStr">
        <is>
          <t>APR-D5E57EE500</t>
        </is>
      </c>
      <c r="C119" s="24" t="inlineStr">
        <is>
          <t>3171493</t>
        </is>
      </c>
      <c r="D119" s="24" t="inlineStr">
        <is>
          <t>Producción Industrial</t>
        </is>
      </c>
      <c r="E119" s="24" t="inlineStr">
        <is>
          <t>NOCTURNA</t>
        </is>
      </c>
      <c r="F119" s="45" t="n">
        <v>0.5579</v>
      </c>
      <c r="G119" s="53" t="n">
        <v>92.40000000000001</v>
      </c>
      <c r="H119" s="24" t="inlineStr">
        <is>
          <t>Alto</t>
        </is>
      </c>
      <c r="I119" s="24" t="inlineStr">
        <is>
          <t>Inmediata</t>
        </is>
      </c>
      <c r="J119" s="24" t="inlineStr">
        <is>
          <t>Ficha crítica; Probabilidad estructural alta</t>
        </is>
      </c>
    </row>
    <row r="120">
      <c r="A120" s="42" t="n">
        <v>52</v>
      </c>
      <c r="B120" s="41" t="inlineStr">
        <is>
          <t>APR-3FF0C365E2</t>
        </is>
      </c>
      <c r="C120" s="41" t="inlineStr">
        <is>
          <t>3171493</t>
        </is>
      </c>
      <c r="D120" s="41" t="inlineStr">
        <is>
          <t>Producción Industrial</t>
        </is>
      </c>
      <c r="E120" s="41" t="inlineStr">
        <is>
          <t>NOCTURNA</t>
        </is>
      </c>
      <c r="F120" s="43" t="n">
        <v>0.5579</v>
      </c>
      <c r="G120" s="54" t="n">
        <v>92.40000000000001</v>
      </c>
      <c r="H120" s="41" t="inlineStr">
        <is>
          <t>Alto</t>
        </is>
      </c>
      <c r="I120" s="41" t="inlineStr">
        <is>
          <t>Inmediata</t>
        </is>
      </c>
      <c r="J120" s="41" t="inlineStr">
        <is>
          <t>Ficha crítica; Probabilidad estructural alta</t>
        </is>
      </c>
    </row>
    <row r="121">
      <c r="A121" s="44" t="n">
        <v>53</v>
      </c>
      <c r="B121" s="24" t="inlineStr">
        <is>
          <t>APR-ABCFEF5A22</t>
        </is>
      </c>
      <c r="C121" s="24" t="inlineStr">
        <is>
          <t>3141025</t>
        </is>
      </c>
      <c r="D121" s="24" t="inlineStr">
        <is>
          <t>Sistemas Integrados de Gestión</t>
        </is>
      </c>
      <c r="E121" s="24" t="inlineStr">
        <is>
          <t>NOCTURNA</t>
        </is>
      </c>
      <c r="F121" s="45" t="n">
        <v>0.5578</v>
      </c>
      <c r="G121" s="53" t="n">
        <v>92.2</v>
      </c>
      <c r="H121" s="24" t="inlineStr">
        <is>
          <t>Alto</t>
        </is>
      </c>
      <c r="I121" s="24" t="inlineStr">
        <is>
          <t>Inmediata</t>
        </is>
      </c>
      <c r="J121" s="24" t="inlineStr">
        <is>
          <t>Ficha crítica; Probabilidad estructural alta</t>
        </is>
      </c>
    </row>
    <row r="122">
      <c r="A122" s="42" t="n">
        <v>54</v>
      </c>
      <c r="B122" s="41" t="inlineStr">
        <is>
          <t>APR-20539DC932</t>
        </is>
      </c>
      <c r="C122" s="41" t="inlineStr">
        <is>
          <t>3181464</t>
        </is>
      </c>
      <c r="D122" s="41" t="inlineStr">
        <is>
          <t>Sistemas Integrados de Gestión</t>
        </is>
      </c>
      <c r="E122" s="41" t="inlineStr">
        <is>
          <t>NOCTURNA</t>
        </is>
      </c>
      <c r="F122" s="43" t="n">
        <v>0.5328000000000001</v>
      </c>
      <c r="G122" s="54" t="n">
        <v>90.7</v>
      </c>
      <c r="H122" s="41" t="inlineStr">
        <is>
          <t>Alto</t>
        </is>
      </c>
      <c r="I122" s="41" t="inlineStr">
        <is>
          <t>Inmediata</t>
        </is>
      </c>
      <c r="J122" s="41" t="inlineStr">
        <is>
          <t>Ficha crítica; Probabilidad estructural alta</t>
        </is>
      </c>
    </row>
    <row r="123">
      <c r="A123" s="44" t="n">
        <v>55</v>
      </c>
      <c r="B123" s="24" t="inlineStr">
        <is>
          <t>APR-255BBD1560</t>
        </is>
      </c>
      <c r="C123" s="24" t="inlineStr">
        <is>
          <t>3181464</t>
        </is>
      </c>
      <c r="D123" s="24" t="inlineStr">
        <is>
          <t>Sistemas Integrados de Gestión</t>
        </is>
      </c>
      <c r="E123" s="24" t="inlineStr">
        <is>
          <t>NOCTURNA</t>
        </is>
      </c>
      <c r="F123" s="45" t="n">
        <v>0.5328000000000001</v>
      </c>
      <c r="G123" s="53" t="n">
        <v>90.7</v>
      </c>
      <c r="H123" s="24" t="inlineStr">
        <is>
          <t>Alto</t>
        </is>
      </c>
      <c r="I123" s="24" t="inlineStr">
        <is>
          <t>Inmediata</t>
        </is>
      </c>
      <c r="J123" s="24" t="inlineStr">
        <is>
          <t>Ficha crítica; Probabilidad estructural alta</t>
        </is>
      </c>
    </row>
    <row r="124">
      <c r="A124" s="42" t="n">
        <v>56</v>
      </c>
      <c r="B124" s="41" t="inlineStr">
        <is>
          <t>APR-E476BC0D2D</t>
        </is>
      </c>
      <c r="C124" s="41" t="inlineStr">
        <is>
          <t>3181464</t>
        </is>
      </c>
      <c r="D124" s="41" t="inlineStr">
        <is>
          <t>Sistemas Integrados de Gestión</t>
        </is>
      </c>
      <c r="E124" s="41" t="inlineStr">
        <is>
          <t>NOCTURNA</t>
        </is>
      </c>
      <c r="F124" s="43" t="n">
        <v>0.5328000000000001</v>
      </c>
      <c r="G124" s="54" t="n">
        <v>90.7</v>
      </c>
      <c r="H124" s="41" t="inlineStr">
        <is>
          <t>Alto</t>
        </is>
      </c>
      <c r="I124" s="41" t="inlineStr">
        <is>
          <t>Inmediata</t>
        </is>
      </c>
      <c r="J124" s="41" t="inlineStr">
        <is>
          <t>Ficha crítica; Probabilidad estructural alta</t>
        </is>
      </c>
    </row>
    <row r="125">
      <c r="A125" s="44" t="n">
        <v>57</v>
      </c>
      <c r="B125" s="24" t="inlineStr">
        <is>
          <t>APR-1B93AD3839</t>
        </is>
      </c>
      <c r="C125" s="24" t="inlineStr">
        <is>
          <t>3181464</t>
        </is>
      </c>
      <c r="D125" s="24" t="inlineStr">
        <is>
          <t>Sistemas Integrados de Gestión</t>
        </is>
      </c>
      <c r="E125" s="24" t="inlineStr">
        <is>
          <t>NOCTURNA</t>
        </is>
      </c>
      <c r="F125" s="45" t="n">
        <v>0.5328000000000001</v>
      </c>
      <c r="G125" s="53" t="n">
        <v>90.7</v>
      </c>
      <c r="H125" s="24" t="inlineStr">
        <is>
          <t>Alto</t>
        </is>
      </c>
      <c r="I125" s="24" t="inlineStr">
        <is>
          <t>Inmediata</t>
        </is>
      </c>
      <c r="J125" s="24" t="inlineStr">
        <is>
          <t>Ficha crítica; Probabilidad estructural alta</t>
        </is>
      </c>
    </row>
    <row r="126">
      <c r="A126" s="42" t="n">
        <v>58</v>
      </c>
      <c r="B126" s="41" t="inlineStr">
        <is>
          <t>APR-FD2484B65D</t>
        </is>
      </c>
      <c r="C126" s="41" t="inlineStr">
        <is>
          <t>3145899</t>
        </is>
      </c>
      <c r="D126" s="41" t="inlineStr">
        <is>
          <t>Química Aplicada</t>
        </is>
      </c>
      <c r="E126" s="41" t="inlineStr">
        <is>
          <t>DIURNA</t>
        </is>
      </c>
      <c r="F126" s="43" t="n">
        <v>0.524</v>
      </c>
      <c r="G126" s="54" t="n">
        <v>90.2</v>
      </c>
      <c r="H126" s="41" t="inlineStr">
        <is>
          <t>Alto</t>
        </is>
      </c>
      <c r="I126" s="41" t="inlineStr">
        <is>
          <t>Inmediata</t>
        </is>
      </c>
      <c r="J126" s="41" t="inlineStr">
        <is>
          <t>Ficha crítica; Probabilidad estructural alta</t>
        </is>
      </c>
    </row>
    <row r="127">
      <c r="A127" s="44" t="n">
        <v>59</v>
      </c>
      <c r="B127" s="24" t="inlineStr">
        <is>
          <t>APR-3D10F456A9</t>
        </is>
      </c>
      <c r="C127" s="24" t="inlineStr">
        <is>
          <t>3145899</t>
        </is>
      </c>
      <c r="D127" s="24" t="inlineStr">
        <is>
          <t>Química Aplicada</t>
        </is>
      </c>
      <c r="E127" s="24" t="inlineStr">
        <is>
          <t>DIURNA</t>
        </is>
      </c>
      <c r="F127" s="45" t="n">
        <v>0.524</v>
      </c>
      <c r="G127" s="53" t="n">
        <v>90.2</v>
      </c>
      <c r="H127" s="24" t="inlineStr">
        <is>
          <t>Alto</t>
        </is>
      </c>
      <c r="I127" s="24" t="inlineStr">
        <is>
          <t>Inmediata</t>
        </is>
      </c>
      <c r="J127" s="24" t="inlineStr">
        <is>
          <t>Ficha crítica; Probabilidad estructural alta</t>
        </is>
      </c>
    </row>
    <row r="128">
      <c r="A128" s="42" t="n">
        <v>60</v>
      </c>
      <c r="B128" s="41" t="inlineStr">
        <is>
          <t>APR-85DF810878</t>
        </is>
      </c>
      <c r="C128" s="41" t="inlineStr">
        <is>
          <t>3145899</t>
        </is>
      </c>
      <c r="D128" s="41" t="inlineStr">
        <is>
          <t>Química Aplicada</t>
        </is>
      </c>
      <c r="E128" s="41" t="inlineStr">
        <is>
          <t>DIURNA</t>
        </is>
      </c>
      <c r="F128" s="43" t="n">
        <v>0.524</v>
      </c>
      <c r="G128" s="54" t="n">
        <v>90.2</v>
      </c>
      <c r="H128" s="41" t="inlineStr">
        <is>
          <t>Alto</t>
        </is>
      </c>
      <c r="I128" s="41" t="inlineStr">
        <is>
          <t>Inmediata</t>
        </is>
      </c>
      <c r="J128" s="41" t="inlineStr">
        <is>
          <t>Ficha crítica; Probabilidad estructural alta</t>
        </is>
      </c>
    </row>
    <row r="129">
      <c r="A129" s="44" t="n">
        <v>61</v>
      </c>
      <c r="B129" s="24" t="inlineStr">
        <is>
          <t>APR-E93AE6A9B8</t>
        </is>
      </c>
      <c r="C129" s="24" t="inlineStr">
        <is>
          <t>3145899</t>
        </is>
      </c>
      <c r="D129" s="24" t="inlineStr">
        <is>
          <t>Química Aplicada</t>
        </is>
      </c>
      <c r="E129" s="24" t="inlineStr">
        <is>
          <t>DIURNA</t>
        </is>
      </c>
      <c r="F129" s="45" t="n">
        <v>0.524</v>
      </c>
      <c r="G129" s="53" t="n">
        <v>90.2</v>
      </c>
      <c r="H129" s="24" t="inlineStr">
        <is>
          <t>Alto</t>
        </is>
      </c>
      <c r="I129" s="24" t="inlineStr">
        <is>
          <t>Inmediata</t>
        </is>
      </c>
      <c r="J129" s="24" t="inlineStr">
        <is>
          <t>Ficha crítica; Probabilidad estructural alta</t>
        </is>
      </c>
    </row>
    <row r="130">
      <c r="A130" s="42" t="n">
        <v>62</v>
      </c>
      <c r="B130" s="41" t="inlineStr">
        <is>
          <t>APR-C75496AE41</t>
        </is>
      </c>
      <c r="C130" s="41" t="inlineStr">
        <is>
          <t>3145899</t>
        </is>
      </c>
      <c r="D130" s="41" t="inlineStr">
        <is>
          <t>Química Aplicada</t>
        </is>
      </c>
      <c r="E130" s="41" t="inlineStr">
        <is>
          <t>DIURNA</t>
        </is>
      </c>
      <c r="F130" s="43" t="n">
        <v>0.524</v>
      </c>
      <c r="G130" s="54" t="n">
        <v>90.2</v>
      </c>
      <c r="H130" s="41" t="inlineStr">
        <is>
          <t>Alto</t>
        </is>
      </c>
      <c r="I130" s="41" t="inlineStr">
        <is>
          <t>Inmediata</t>
        </is>
      </c>
      <c r="J130" s="41" t="inlineStr">
        <is>
          <t>Ficha crítica; Probabilidad estructural alta</t>
        </is>
      </c>
    </row>
    <row r="131">
      <c r="A131" s="44" t="n">
        <v>63</v>
      </c>
      <c r="B131" s="24" t="inlineStr">
        <is>
          <t>APR-76FDD3834D</t>
        </is>
      </c>
      <c r="C131" s="24" t="inlineStr">
        <is>
          <t>3145899</t>
        </is>
      </c>
      <c r="D131" s="24" t="inlineStr">
        <is>
          <t>Química Aplicada</t>
        </is>
      </c>
      <c r="E131" s="24" t="inlineStr">
        <is>
          <t>DIURNA</t>
        </is>
      </c>
      <c r="F131" s="45" t="n">
        <v>0.524</v>
      </c>
      <c r="G131" s="53" t="n">
        <v>90.2</v>
      </c>
      <c r="H131" s="24" t="inlineStr">
        <is>
          <t>Alto</t>
        </is>
      </c>
      <c r="I131" s="24" t="inlineStr">
        <is>
          <t>Inmediata</t>
        </is>
      </c>
      <c r="J131" s="24" t="inlineStr">
        <is>
          <t>Ficha crítica; Probabilidad estructural alta</t>
        </is>
      </c>
    </row>
    <row r="132">
      <c r="A132" s="42" t="n">
        <v>64</v>
      </c>
      <c r="B132" s="41" t="inlineStr">
        <is>
          <t>APR-96198B056D</t>
        </is>
      </c>
      <c r="C132" s="41" t="inlineStr">
        <is>
          <t>3145899</t>
        </is>
      </c>
      <c r="D132" s="41" t="inlineStr">
        <is>
          <t>Química Aplicada</t>
        </is>
      </c>
      <c r="E132" s="41" t="inlineStr">
        <is>
          <t>DIURNA</t>
        </is>
      </c>
      <c r="F132" s="43" t="n">
        <v>0.524</v>
      </c>
      <c r="G132" s="54" t="n">
        <v>90.2</v>
      </c>
      <c r="H132" s="41" t="inlineStr">
        <is>
          <t>Alto</t>
        </is>
      </c>
      <c r="I132" s="41" t="inlineStr">
        <is>
          <t>Inmediata</t>
        </is>
      </c>
      <c r="J132" s="41" t="inlineStr">
        <is>
          <t>Ficha crítica; Probabilidad estructural alta</t>
        </is>
      </c>
    </row>
    <row r="133">
      <c r="A133" s="44" t="n">
        <v>65</v>
      </c>
      <c r="B133" s="24" t="inlineStr">
        <is>
          <t>APR-8ACACFBECD</t>
        </is>
      </c>
      <c r="C133" s="24" t="inlineStr">
        <is>
          <t>3145899</t>
        </is>
      </c>
      <c r="D133" s="24" t="inlineStr">
        <is>
          <t>Química Aplicada</t>
        </is>
      </c>
      <c r="E133" s="24" t="inlineStr">
        <is>
          <t>DIURNA</t>
        </is>
      </c>
      <c r="F133" s="45" t="n">
        <v>0.524</v>
      </c>
      <c r="G133" s="53" t="n">
        <v>90.2</v>
      </c>
      <c r="H133" s="24" t="inlineStr">
        <is>
          <t>Alto</t>
        </is>
      </c>
      <c r="I133" s="24" t="inlineStr">
        <is>
          <t>Inmediata</t>
        </is>
      </c>
      <c r="J133" s="24" t="inlineStr">
        <is>
          <t>Ficha crítica; Probabilidad estructural alta</t>
        </is>
      </c>
    </row>
    <row r="134">
      <c r="A134" s="42" t="n">
        <v>66</v>
      </c>
      <c r="B134" s="41" t="inlineStr">
        <is>
          <t>APR-25A267EFA8</t>
        </is>
      </c>
      <c r="C134" s="41" t="inlineStr">
        <is>
          <t>3171542</t>
        </is>
      </c>
      <c r="D134" s="41" t="inlineStr">
        <is>
          <t>Sistemas Integrados de Gestión</t>
        </is>
      </c>
      <c r="E134" s="41" t="inlineStr">
        <is>
          <t>DIURNA</t>
        </is>
      </c>
      <c r="F134" s="43" t="n">
        <v>0.8516</v>
      </c>
      <c r="G134" s="54" t="n">
        <v>99.90000000000001</v>
      </c>
      <c r="H134" s="41" t="inlineStr">
        <is>
          <t>Alto</t>
        </is>
      </c>
      <c r="I134" s="41" t="inlineStr">
        <is>
          <t>Seguimiento</t>
        </is>
      </c>
      <c r="J134" s="41" t="inlineStr">
        <is>
          <t>Ficha de alto riesgo; Probabilidad estructural alta; Contacto incompleto</t>
        </is>
      </c>
    </row>
    <row r="135">
      <c r="A135" s="44" t="n">
        <v>67</v>
      </c>
      <c r="B135" s="24" t="inlineStr">
        <is>
          <t>APR-34A704ADD0</t>
        </is>
      </c>
      <c r="C135" s="24" t="inlineStr">
        <is>
          <t>3171542</t>
        </is>
      </c>
      <c r="D135" s="24" t="inlineStr">
        <is>
          <t>Sistemas Integrados de Gestión</t>
        </is>
      </c>
      <c r="E135" s="24" t="inlineStr">
        <is>
          <t>DIURNA</t>
        </is>
      </c>
      <c r="F135" s="45" t="n">
        <v>0.8024</v>
      </c>
      <c r="G135" s="53" t="n">
        <v>99.8</v>
      </c>
      <c r="H135" s="24" t="inlineStr">
        <is>
          <t>Alto</t>
        </is>
      </c>
      <c r="I135" s="24" t="inlineStr">
        <is>
          <t>Seguimiento</t>
        </is>
      </c>
      <c r="J135" s="24" t="inlineStr">
        <is>
          <t>Ficha de alto riesgo; Probabilidad estructural alta; Contacto incompleto</t>
        </is>
      </c>
    </row>
    <row r="136">
      <c r="A136" s="42" t="n">
        <v>68</v>
      </c>
      <c r="B136" s="41" t="inlineStr">
        <is>
          <t>APR-D3DD5F9762</t>
        </is>
      </c>
      <c r="C136" s="41" t="inlineStr">
        <is>
          <t>3171542</t>
        </is>
      </c>
      <c r="D136" s="41" t="inlineStr">
        <is>
          <t>Sistemas Integrados de Gestión</t>
        </is>
      </c>
      <c r="E136" s="41" t="inlineStr">
        <is>
          <t>DIURNA</t>
        </is>
      </c>
      <c r="F136" s="43" t="n">
        <v>0.8024</v>
      </c>
      <c r="G136" s="54" t="n">
        <v>99.8</v>
      </c>
      <c r="H136" s="41" t="inlineStr">
        <is>
          <t>Alto</t>
        </is>
      </c>
      <c r="I136" s="41" t="inlineStr">
        <is>
          <t>Seguimiento</t>
        </is>
      </c>
      <c r="J136" s="41" t="inlineStr">
        <is>
          <t>Ficha de alto riesgo; Probabilidad estructural alta; Contacto incompleto</t>
        </is>
      </c>
    </row>
    <row r="137">
      <c r="A137" s="44" t="n">
        <v>69</v>
      </c>
      <c r="B137" s="24" t="inlineStr">
        <is>
          <t>APR-C4D0616170</t>
        </is>
      </c>
      <c r="C137" s="24" t="inlineStr">
        <is>
          <t>3171542</t>
        </is>
      </c>
      <c r="D137" s="24" t="inlineStr">
        <is>
          <t>Sistemas Integrados de Gestión</t>
        </is>
      </c>
      <c r="E137" s="24" t="inlineStr">
        <is>
          <t>DIURNA</t>
        </is>
      </c>
      <c r="F137" s="45" t="n">
        <v>0.8024</v>
      </c>
      <c r="G137" s="53" t="n">
        <v>99.8</v>
      </c>
      <c r="H137" s="24" t="inlineStr">
        <is>
          <t>Alto</t>
        </is>
      </c>
      <c r="I137" s="24" t="inlineStr">
        <is>
          <t>Seguimiento</t>
        </is>
      </c>
      <c r="J137" s="24" t="inlineStr">
        <is>
          <t>Ficha de alto riesgo; Probabilidad estructural alta; Contacto incompleto</t>
        </is>
      </c>
    </row>
    <row r="138">
      <c r="A138" s="42" t="n">
        <v>70</v>
      </c>
      <c r="B138" s="41" t="inlineStr">
        <is>
          <t>APR-3A2227FDC3</t>
        </is>
      </c>
      <c r="C138" s="41" t="inlineStr">
        <is>
          <t>3141029</t>
        </is>
      </c>
      <c r="D138" s="41" t="inlineStr">
        <is>
          <t>Gestión de Proyectos</t>
        </is>
      </c>
      <c r="E138" s="41" t="inlineStr">
        <is>
          <t>NOCTURNA</t>
        </is>
      </c>
      <c r="F138" s="43" t="n">
        <v>0.7939000000000001</v>
      </c>
      <c r="G138" s="54" t="n">
        <v>99.7</v>
      </c>
      <c r="H138" s="41" t="inlineStr">
        <is>
          <t>Alto</t>
        </is>
      </c>
      <c r="I138" s="41" t="inlineStr">
        <is>
          <t>Seguimiento</t>
        </is>
      </c>
      <c r="J138" s="41" t="inlineStr">
        <is>
          <t>Probabilidad estructural alta; Contacto incompleto</t>
        </is>
      </c>
    </row>
    <row r="139">
      <c r="A139" s="44" t="n">
        <v>71</v>
      </c>
      <c r="B139" s="24" t="inlineStr">
        <is>
          <t>APR-69F0E7531A</t>
        </is>
      </c>
      <c r="C139" s="24" t="inlineStr">
        <is>
          <t>3179885</t>
        </is>
      </c>
      <c r="D139" s="24" t="inlineStr">
        <is>
          <t>Sistemas Integrados de Gestión</t>
        </is>
      </c>
      <c r="E139" s="24" t="inlineStr">
        <is>
          <t>DIURNA</t>
        </is>
      </c>
      <c r="F139" s="45" t="n">
        <v>0.7727000000000001</v>
      </c>
      <c r="G139" s="53" t="n">
        <v>99.59999999999999</v>
      </c>
      <c r="H139" s="24" t="inlineStr">
        <is>
          <t>Alto</t>
        </is>
      </c>
      <c r="I139" s="24" t="inlineStr">
        <is>
          <t>Seguimiento</t>
        </is>
      </c>
      <c r="J139" s="24" t="inlineStr">
        <is>
          <t>Probabilidad estructural alta; Contacto incompleto</t>
        </is>
      </c>
    </row>
    <row r="140">
      <c r="A140" s="42" t="n">
        <v>72</v>
      </c>
      <c r="B140" s="41" t="inlineStr">
        <is>
          <t>APR-3C2CEC2390</t>
        </is>
      </c>
      <c r="C140" s="41" t="inlineStr">
        <is>
          <t>3179874</t>
        </is>
      </c>
      <c r="D140" s="41" t="inlineStr">
        <is>
          <t>Química Aplicada</t>
        </is>
      </c>
      <c r="E140" s="41" t="inlineStr">
        <is>
          <t>DIURNA</t>
        </is>
      </c>
      <c r="F140" s="43" t="n">
        <v>0.7655999999999999</v>
      </c>
      <c r="G140" s="54" t="n">
        <v>99.5</v>
      </c>
      <c r="H140" s="41" t="inlineStr">
        <is>
          <t>Alto</t>
        </is>
      </c>
      <c r="I140" s="41" t="inlineStr">
        <is>
          <t>Seguimiento</t>
        </is>
      </c>
      <c r="J140" s="41" t="inlineStr">
        <is>
          <t>Probabilidad estructural alta; Contacto incompleto</t>
        </is>
      </c>
    </row>
    <row r="141">
      <c r="A141" s="44" t="n">
        <v>73</v>
      </c>
      <c r="B141" s="24" t="inlineStr">
        <is>
          <t>APR-AD518760BB</t>
        </is>
      </c>
      <c r="C141" s="24" t="inlineStr">
        <is>
          <t>3179874</t>
        </is>
      </c>
      <c r="D141" s="24" t="inlineStr">
        <is>
          <t>Química Aplicada</t>
        </is>
      </c>
      <c r="E141" s="24" t="inlineStr">
        <is>
          <t>DIURNA</t>
        </is>
      </c>
      <c r="F141" s="45" t="n">
        <v>0.7655999999999999</v>
      </c>
      <c r="G141" s="53" t="n">
        <v>99.5</v>
      </c>
      <c r="H141" s="24" t="inlineStr">
        <is>
          <t>Alto</t>
        </is>
      </c>
      <c r="I141" s="24" t="inlineStr">
        <is>
          <t>Seguimiento</t>
        </is>
      </c>
      <c r="J141" s="24" t="inlineStr">
        <is>
          <t>Probabilidad estructural alta; Contacto incompleto</t>
        </is>
      </c>
    </row>
    <row r="142">
      <c r="A142" s="42" t="n">
        <v>74</v>
      </c>
      <c r="B142" s="41" t="inlineStr">
        <is>
          <t>APR-12A2238A7B</t>
        </is>
      </c>
      <c r="C142" s="41" t="inlineStr">
        <is>
          <t>3141029</t>
        </is>
      </c>
      <c r="D142" s="41" t="inlineStr">
        <is>
          <t>Gestión de Proyectos</t>
        </is>
      </c>
      <c r="E142" s="41" t="inlineStr">
        <is>
          <t>NOCTURNA</t>
        </is>
      </c>
      <c r="F142" s="43" t="n">
        <v>0.7175</v>
      </c>
      <c r="G142" s="54" t="n">
        <v>98.8</v>
      </c>
      <c r="H142" s="41" t="inlineStr">
        <is>
          <t>Alto</t>
        </is>
      </c>
      <c r="I142" s="41" t="inlineStr">
        <is>
          <t>Seguimiento</t>
        </is>
      </c>
      <c r="J142" s="41" t="inlineStr">
        <is>
          <t>Probabilidad estructural alta; Contacto incompleto</t>
        </is>
      </c>
    </row>
    <row r="143">
      <c r="A143" s="44" t="n">
        <v>75</v>
      </c>
      <c r="B143" s="24" t="inlineStr">
        <is>
          <t>APR-3B3254FEDA</t>
        </is>
      </c>
      <c r="C143" s="24" t="inlineStr">
        <is>
          <t>3179885</t>
        </is>
      </c>
      <c r="D143" s="24" t="inlineStr">
        <is>
          <t>Sistemas Integrados de Gestión</t>
        </is>
      </c>
      <c r="E143" s="24" t="inlineStr">
        <is>
          <t>DIURNA</t>
        </is>
      </c>
      <c r="F143" s="45" t="n">
        <v>0.7154</v>
      </c>
      <c r="G143" s="53" t="n">
        <v>98.59999999999999</v>
      </c>
      <c r="H143" s="24" t="inlineStr">
        <is>
          <t>Alto</t>
        </is>
      </c>
      <c r="I143" s="24" t="inlineStr">
        <is>
          <t>Seguimiento</t>
        </is>
      </c>
      <c r="J143" s="24" t="inlineStr">
        <is>
          <t>Probabilidad estructural alta; Contacto incompleto</t>
        </is>
      </c>
    </row>
    <row r="144">
      <c r="A144" s="42" t="n">
        <v>76</v>
      </c>
      <c r="B144" s="41" t="inlineStr">
        <is>
          <t>APR-8BC473F889</t>
        </is>
      </c>
      <c r="C144" s="41" t="inlineStr">
        <is>
          <t>3179885</t>
        </is>
      </c>
      <c r="D144" s="41" t="inlineStr">
        <is>
          <t>Sistemas Integrados de Gestión</t>
        </is>
      </c>
      <c r="E144" s="41" t="inlineStr">
        <is>
          <t>DIURNA</t>
        </is>
      </c>
      <c r="F144" s="43" t="n">
        <v>0.7154</v>
      </c>
      <c r="G144" s="54" t="n">
        <v>98.59999999999999</v>
      </c>
      <c r="H144" s="41" t="inlineStr">
        <is>
          <t>Alto</t>
        </is>
      </c>
      <c r="I144" s="41" t="inlineStr">
        <is>
          <t>Seguimiento</t>
        </is>
      </c>
      <c r="J144" s="41" t="inlineStr">
        <is>
          <t>Probabilidad estructural alta; Contacto incompleto</t>
        </is>
      </c>
    </row>
    <row r="145">
      <c r="A145" s="44" t="n">
        <v>77</v>
      </c>
      <c r="B145" s="24" t="inlineStr">
        <is>
          <t>APR-956278FF11</t>
        </is>
      </c>
      <c r="C145" s="24" t="inlineStr">
        <is>
          <t>3171542</t>
        </is>
      </c>
      <c r="D145" s="24" t="inlineStr">
        <is>
          <t>Sistemas Integrados de Gestión</t>
        </is>
      </c>
      <c r="E145" s="24" t="inlineStr">
        <is>
          <t>DIURNA</t>
        </is>
      </c>
      <c r="F145" s="45" t="n">
        <v>0.7134</v>
      </c>
      <c r="G145" s="53" t="n">
        <v>98.59999999999999</v>
      </c>
      <c r="H145" s="24" t="inlineStr">
        <is>
          <t>Alto</t>
        </is>
      </c>
      <c r="I145" s="24" t="inlineStr">
        <is>
          <t>Seguimiento</t>
        </is>
      </c>
      <c r="J145" s="24" t="inlineStr">
        <is>
          <t>Ficha de alto riesgo; Probabilidad estructural alta</t>
        </is>
      </c>
    </row>
    <row r="146">
      <c r="A146" s="42" t="n">
        <v>78</v>
      </c>
      <c r="B146" s="41" t="inlineStr">
        <is>
          <t>APR-8CA040A22E</t>
        </is>
      </c>
      <c r="C146" s="41" t="inlineStr">
        <is>
          <t>3145900</t>
        </is>
      </c>
      <c r="D146" s="41" t="inlineStr">
        <is>
          <t>Gestión de Proyectos</t>
        </is>
      </c>
      <c r="E146" s="41" t="inlineStr">
        <is>
          <t>NOCTURNA</t>
        </is>
      </c>
      <c r="F146" s="43" t="n">
        <v>0.7037</v>
      </c>
      <c r="G146" s="54" t="n">
        <v>98.40000000000001</v>
      </c>
      <c r="H146" s="41" t="inlineStr">
        <is>
          <t>Alto</t>
        </is>
      </c>
      <c r="I146" s="41" t="inlineStr">
        <is>
          <t>Seguimiento</t>
        </is>
      </c>
      <c r="J146" s="41" t="inlineStr">
        <is>
          <t>Probabilidad estructural alta; Contacto incompleto</t>
        </is>
      </c>
    </row>
    <row r="147">
      <c r="A147" s="44" t="n">
        <v>79</v>
      </c>
      <c r="B147" s="24" t="inlineStr">
        <is>
          <t>APR-2658310E93</t>
        </is>
      </c>
      <c r="C147" s="24" t="inlineStr">
        <is>
          <t>3145900</t>
        </is>
      </c>
      <c r="D147" s="24" t="inlineStr">
        <is>
          <t>Gestión de Proyectos</t>
        </is>
      </c>
      <c r="E147" s="24" t="inlineStr">
        <is>
          <t>NOCTURNA</t>
        </is>
      </c>
      <c r="F147" s="45" t="n">
        <v>0.6993</v>
      </c>
      <c r="G147" s="53" t="n">
        <v>98.40000000000001</v>
      </c>
      <c r="H147" s="24" t="inlineStr">
        <is>
          <t>Alto</t>
        </is>
      </c>
      <c r="I147" s="24" t="inlineStr">
        <is>
          <t>Seguimiento</t>
        </is>
      </c>
      <c r="J147" s="24" t="inlineStr">
        <is>
          <t>Probabilidad estructural alta; Contacto incompleto</t>
        </is>
      </c>
    </row>
    <row r="148">
      <c r="A148" s="42" t="n">
        <v>80</v>
      </c>
      <c r="B148" s="41" t="inlineStr">
        <is>
          <t>APR-C26ADCB259</t>
        </is>
      </c>
      <c r="C148" s="41" t="inlineStr">
        <is>
          <t>3179887</t>
        </is>
      </c>
      <c r="D148" s="41" t="inlineStr">
        <is>
          <t>Producción Industrial</t>
        </is>
      </c>
      <c r="E148" s="41" t="inlineStr">
        <is>
          <t>NOCTURNA</t>
        </is>
      </c>
      <c r="F148" s="43" t="n">
        <v>0.6867</v>
      </c>
      <c r="G148" s="54" t="n">
        <v>98.3</v>
      </c>
      <c r="H148" s="41" t="inlineStr">
        <is>
          <t>Alto</t>
        </is>
      </c>
      <c r="I148" s="41" t="inlineStr">
        <is>
          <t>Seguimiento</t>
        </is>
      </c>
      <c r="J148" s="41" t="inlineStr">
        <is>
          <t>Ficha de alto riesgo; Probabilidad estructural alta; Contacto incompleto</t>
        </is>
      </c>
    </row>
    <row r="149">
      <c r="A149" s="44" t="n">
        <v>81</v>
      </c>
      <c r="B149" s="24" t="inlineStr">
        <is>
          <t>APR-7DCABA25E5</t>
        </is>
      </c>
      <c r="C149" s="24" t="inlineStr">
        <is>
          <t>3179874</t>
        </is>
      </c>
      <c r="D149" s="24" t="inlineStr">
        <is>
          <t>Química Aplicada</t>
        </is>
      </c>
      <c r="E149" s="24" t="inlineStr">
        <is>
          <t>DIURNA</t>
        </is>
      </c>
      <c r="F149" s="45" t="n">
        <v>0.6742</v>
      </c>
      <c r="G149" s="53" t="n">
        <v>98.2</v>
      </c>
      <c r="H149" s="24" t="inlineStr">
        <is>
          <t>Alto</t>
        </is>
      </c>
      <c r="I149" s="24" t="inlineStr">
        <is>
          <t>Seguimiento</t>
        </is>
      </c>
      <c r="J149" s="24" t="inlineStr">
        <is>
          <t>Probabilidad estructural alta; Contacto incompleto</t>
        </is>
      </c>
    </row>
    <row r="150">
      <c r="A150" s="42" t="n">
        <v>82</v>
      </c>
      <c r="B150" s="41" t="inlineStr">
        <is>
          <t>APR-EE73D8B678</t>
        </is>
      </c>
      <c r="C150" s="41" t="inlineStr">
        <is>
          <t>3179874</t>
        </is>
      </c>
      <c r="D150" s="41" t="inlineStr">
        <is>
          <t>Química Aplicada</t>
        </is>
      </c>
      <c r="E150" s="41" t="inlineStr">
        <is>
          <t>DIURNA</t>
        </is>
      </c>
      <c r="F150" s="43" t="n">
        <v>0.6742</v>
      </c>
      <c r="G150" s="54" t="n">
        <v>98.2</v>
      </c>
      <c r="H150" s="41" t="inlineStr">
        <is>
          <t>Alto</t>
        </is>
      </c>
      <c r="I150" s="41" t="inlineStr">
        <is>
          <t>Seguimiento</t>
        </is>
      </c>
      <c r="J150" s="41" t="inlineStr">
        <is>
          <t>Probabilidad estructural alta; Contacto incompleto</t>
        </is>
      </c>
    </row>
    <row r="151">
      <c r="A151" s="44" t="n">
        <v>83</v>
      </c>
      <c r="B151" s="24" t="inlineStr">
        <is>
          <t>APR-77F98605F2</t>
        </is>
      </c>
      <c r="C151" s="24" t="inlineStr">
        <is>
          <t>3179874</t>
        </is>
      </c>
      <c r="D151" s="24" t="inlineStr">
        <is>
          <t>Química Aplicada</t>
        </is>
      </c>
      <c r="E151" s="24" t="inlineStr">
        <is>
          <t>DIURNA</t>
        </is>
      </c>
      <c r="F151" s="45" t="n">
        <v>0.6742</v>
      </c>
      <c r="G151" s="53" t="n">
        <v>98.2</v>
      </c>
      <c r="H151" s="24" t="inlineStr">
        <is>
          <t>Alto</t>
        </is>
      </c>
      <c r="I151" s="24" t="inlineStr">
        <is>
          <t>Seguimiento</t>
        </is>
      </c>
      <c r="J151" s="24" t="inlineStr">
        <is>
          <t>Probabilidad estructural alta; Contacto incompleto</t>
        </is>
      </c>
    </row>
    <row r="152">
      <c r="A152" s="42" t="n">
        <v>84</v>
      </c>
      <c r="B152" s="41" t="inlineStr">
        <is>
          <t>APR-C5B5AF3F7D</t>
        </is>
      </c>
      <c r="C152" s="41" t="inlineStr">
        <is>
          <t>3171542</t>
        </is>
      </c>
      <c r="D152" s="41" t="inlineStr">
        <is>
          <t>Sistemas Integrados de Gestión</t>
        </is>
      </c>
      <c r="E152" s="41" t="inlineStr">
        <is>
          <t>DIURNA</t>
        </is>
      </c>
      <c r="F152" s="43" t="n">
        <v>0.6671</v>
      </c>
      <c r="G152" s="54" t="n">
        <v>96.5</v>
      </c>
      <c r="H152" s="41" t="inlineStr">
        <is>
          <t>Alto</t>
        </is>
      </c>
      <c r="I152" s="41" t="inlineStr">
        <is>
          <t>Seguimiento</t>
        </is>
      </c>
      <c r="J152" s="41" t="inlineStr">
        <is>
          <t>Ficha de alto riesgo; Probabilidad estructural alta</t>
        </is>
      </c>
    </row>
    <row r="153">
      <c r="A153" s="44" t="n">
        <v>85</v>
      </c>
      <c r="B153" s="24" t="inlineStr">
        <is>
          <t>APR-A597902648</t>
        </is>
      </c>
      <c r="C153" s="24" t="inlineStr">
        <is>
          <t>3171542</t>
        </is>
      </c>
      <c r="D153" s="24" t="inlineStr">
        <is>
          <t>Sistemas Integrados de Gestión</t>
        </is>
      </c>
      <c r="E153" s="24" t="inlineStr">
        <is>
          <t>DIURNA</t>
        </is>
      </c>
      <c r="F153" s="45" t="n">
        <v>0.6671</v>
      </c>
      <c r="G153" s="53" t="n">
        <v>96.5</v>
      </c>
      <c r="H153" s="24" t="inlineStr">
        <is>
          <t>Alto</t>
        </is>
      </c>
      <c r="I153" s="24" t="inlineStr">
        <is>
          <t>Seguimiento</t>
        </is>
      </c>
      <c r="J153" s="24" t="inlineStr">
        <is>
          <t>Ficha de alto riesgo; Probabilidad estructural alta</t>
        </is>
      </c>
    </row>
    <row r="154">
      <c r="A154" s="42" t="n">
        <v>86</v>
      </c>
      <c r="B154" s="41" t="inlineStr">
        <is>
          <t>APR-61CACC2E20</t>
        </is>
      </c>
      <c r="C154" s="41" t="inlineStr">
        <is>
          <t>3171542</t>
        </is>
      </c>
      <c r="D154" s="41" t="inlineStr">
        <is>
          <t>Sistemas Integrados de Gestión</t>
        </is>
      </c>
      <c r="E154" s="41" t="inlineStr">
        <is>
          <t>DIURNA</t>
        </is>
      </c>
      <c r="F154" s="43" t="n">
        <v>0.6379</v>
      </c>
      <c r="G154" s="54" t="n">
        <v>95.3</v>
      </c>
      <c r="H154" s="41" t="inlineStr">
        <is>
          <t>Alto</t>
        </is>
      </c>
      <c r="I154" s="41" t="inlineStr">
        <is>
          <t>Seguimiento</t>
        </is>
      </c>
      <c r="J154" s="41" t="inlineStr">
        <is>
          <t>Ficha de alto riesgo; Probabilidad estructural alta</t>
        </is>
      </c>
    </row>
    <row r="155">
      <c r="A155" s="44" t="n">
        <v>87</v>
      </c>
      <c r="B155" s="24" t="inlineStr">
        <is>
          <t>APR-6F8EF0BE6B</t>
        </is>
      </c>
      <c r="C155" s="24" t="inlineStr">
        <is>
          <t>3171542</t>
        </is>
      </c>
      <c r="D155" s="24" t="inlineStr">
        <is>
          <t>Sistemas Integrados de Gestión</t>
        </is>
      </c>
      <c r="E155" s="24" t="inlineStr">
        <is>
          <t>DIURNA</t>
        </is>
      </c>
      <c r="F155" s="45" t="n">
        <v>0.6379</v>
      </c>
      <c r="G155" s="53" t="n">
        <v>95.3</v>
      </c>
      <c r="H155" s="24" t="inlineStr">
        <is>
          <t>Alto</t>
        </is>
      </c>
      <c r="I155" s="24" t="inlineStr">
        <is>
          <t>Seguimiento</t>
        </is>
      </c>
      <c r="J155" s="24" t="inlineStr">
        <is>
          <t>Ficha de alto riesgo; Probabilidad estructural alta</t>
        </is>
      </c>
    </row>
    <row r="156">
      <c r="A156" s="42" t="n">
        <v>88</v>
      </c>
      <c r="B156" s="41" t="inlineStr">
        <is>
          <t>APR-32825C885C</t>
        </is>
      </c>
      <c r="C156" s="41" t="inlineStr">
        <is>
          <t>3171542</t>
        </is>
      </c>
      <c r="D156" s="41" t="inlineStr">
        <is>
          <t>Sistemas Integrados de Gestión</t>
        </is>
      </c>
      <c r="E156" s="41" t="inlineStr">
        <is>
          <t>DIURNA</t>
        </is>
      </c>
      <c r="F156" s="43" t="n">
        <v>0.6379</v>
      </c>
      <c r="G156" s="54" t="n">
        <v>95.3</v>
      </c>
      <c r="H156" s="41" t="inlineStr">
        <is>
          <t>Alto</t>
        </is>
      </c>
      <c r="I156" s="41" t="inlineStr">
        <is>
          <t>Seguimiento</t>
        </is>
      </c>
      <c r="J156" s="41" t="inlineStr">
        <is>
          <t>Ficha de alto riesgo; Probabilidad estructural alta</t>
        </is>
      </c>
    </row>
    <row r="157">
      <c r="A157" s="44" t="n">
        <v>89</v>
      </c>
      <c r="B157" s="24" t="inlineStr">
        <is>
          <t>APR-6B920A4D4D</t>
        </is>
      </c>
      <c r="C157" s="24" t="inlineStr">
        <is>
          <t>3171542</t>
        </is>
      </c>
      <c r="D157" s="24" t="inlineStr">
        <is>
          <t>Sistemas Integrados de Gestión</t>
        </is>
      </c>
      <c r="E157" s="24" t="inlineStr">
        <is>
          <t>DIURNA</t>
        </is>
      </c>
      <c r="F157" s="45" t="n">
        <v>0.6379</v>
      </c>
      <c r="G157" s="53" t="n">
        <v>95.3</v>
      </c>
      <c r="H157" s="24" t="inlineStr">
        <is>
          <t>Alto</t>
        </is>
      </c>
      <c r="I157" s="24" t="inlineStr">
        <is>
          <t>Seguimiento</t>
        </is>
      </c>
      <c r="J157" s="24" t="inlineStr">
        <is>
          <t>Ficha de alto riesgo; Probabilidad estructural alta</t>
        </is>
      </c>
    </row>
    <row r="158">
      <c r="A158" s="42" t="n">
        <v>90</v>
      </c>
      <c r="B158" s="41" t="inlineStr">
        <is>
          <t>APR-634849B178</t>
        </is>
      </c>
      <c r="C158" s="41" t="inlineStr">
        <is>
          <t>3171542</t>
        </is>
      </c>
      <c r="D158" s="41" t="inlineStr">
        <is>
          <t>Sistemas Integrados de Gestión</t>
        </is>
      </c>
      <c r="E158" s="41" t="inlineStr">
        <is>
          <t>DIURNA</t>
        </is>
      </c>
      <c r="F158" s="43" t="n">
        <v>0.6379</v>
      </c>
      <c r="G158" s="54" t="n">
        <v>95.3</v>
      </c>
      <c r="H158" s="41" t="inlineStr">
        <is>
          <t>Alto</t>
        </is>
      </c>
      <c r="I158" s="41" t="inlineStr">
        <is>
          <t>Seguimiento</t>
        </is>
      </c>
      <c r="J158" s="41" t="inlineStr">
        <is>
          <t>Ficha de alto riesgo; Probabilidad estructural alta</t>
        </is>
      </c>
    </row>
    <row r="159">
      <c r="A159" s="44" t="n">
        <v>91</v>
      </c>
      <c r="B159" s="24" t="inlineStr">
        <is>
          <t>APR-1C2830B00C</t>
        </is>
      </c>
      <c r="C159" s="24" t="inlineStr">
        <is>
          <t>3171542</t>
        </is>
      </c>
      <c r="D159" s="24" t="inlineStr">
        <is>
          <t>Sistemas Integrados de Gestión</t>
        </is>
      </c>
      <c r="E159" s="24" t="inlineStr">
        <is>
          <t>DIURNA</t>
        </is>
      </c>
      <c r="F159" s="45" t="n">
        <v>0.6379</v>
      </c>
      <c r="G159" s="53" t="n">
        <v>95.3</v>
      </c>
      <c r="H159" s="24" t="inlineStr">
        <is>
          <t>Alto</t>
        </is>
      </c>
      <c r="I159" s="24" t="inlineStr">
        <is>
          <t>Seguimiento</t>
        </is>
      </c>
      <c r="J159" s="24" t="inlineStr">
        <is>
          <t>Ficha de alto riesgo; Probabilidad estructural alta</t>
        </is>
      </c>
    </row>
    <row r="160">
      <c r="A160" s="42" t="n">
        <v>92</v>
      </c>
      <c r="B160" s="41" t="inlineStr">
        <is>
          <t>APR-DC3FB37286</t>
        </is>
      </c>
      <c r="C160" s="41" t="inlineStr">
        <is>
          <t>3171542</t>
        </is>
      </c>
      <c r="D160" s="41" t="inlineStr">
        <is>
          <t>Sistemas Integrados de Gestión</t>
        </is>
      </c>
      <c r="E160" s="41" t="inlineStr">
        <is>
          <t>DIURNA</t>
        </is>
      </c>
      <c r="F160" s="43" t="n">
        <v>0.6379</v>
      </c>
      <c r="G160" s="54" t="n">
        <v>95.3</v>
      </c>
      <c r="H160" s="41" t="inlineStr">
        <is>
          <t>Alto</t>
        </is>
      </c>
      <c r="I160" s="41" t="inlineStr">
        <is>
          <t>Seguimiento</t>
        </is>
      </c>
      <c r="J160" s="41" t="inlineStr">
        <is>
          <t>Ficha de alto riesgo; Probabilidad estructural alta</t>
        </is>
      </c>
    </row>
    <row r="161">
      <c r="A161" s="44" t="n">
        <v>93</v>
      </c>
      <c r="B161" s="24" t="inlineStr">
        <is>
          <t>APR-DC98480D5A</t>
        </is>
      </c>
      <c r="C161" s="24" t="inlineStr">
        <is>
          <t>3171542</t>
        </is>
      </c>
      <c r="D161" s="24" t="inlineStr">
        <is>
          <t>Sistemas Integrados de Gestión</t>
        </is>
      </c>
      <c r="E161" s="24" t="inlineStr">
        <is>
          <t>DIURNA</t>
        </is>
      </c>
      <c r="F161" s="45" t="n">
        <v>0.6379</v>
      </c>
      <c r="G161" s="53" t="n">
        <v>95.3</v>
      </c>
      <c r="H161" s="24" t="inlineStr">
        <is>
          <t>Alto</t>
        </is>
      </c>
      <c r="I161" s="24" t="inlineStr">
        <is>
          <t>Seguimiento</t>
        </is>
      </c>
      <c r="J161" s="24" t="inlineStr">
        <is>
          <t>Ficha de alto riesgo; Probabilidad estructural alta</t>
        </is>
      </c>
    </row>
    <row r="162">
      <c r="A162" s="42" t="n">
        <v>94</v>
      </c>
      <c r="B162" s="41" t="inlineStr">
        <is>
          <t>APR-5283904029</t>
        </is>
      </c>
      <c r="C162" s="41" t="inlineStr">
        <is>
          <t>3171542</t>
        </is>
      </c>
      <c r="D162" s="41" t="inlineStr">
        <is>
          <t>Sistemas Integrados de Gestión</t>
        </is>
      </c>
      <c r="E162" s="41" t="inlineStr">
        <is>
          <t>DIURNA</t>
        </is>
      </c>
      <c r="F162" s="43" t="n">
        <v>0.6379</v>
      </c>
      <c r="G162" s="54" t="n">
        <v>95.3</v>
      </c>
      <c r="H162" s="41" t="inlineStr">
        <is>
          <t>Alto</t>
        </is>
      </c>
      <c r="I162" s="41" t="inlineStr">
        <is>
          <t>Seguimiento</t>
        </is>
      </c>
      <c r="J162" s="41" t="inlineStr">
        <is>
          <t>Ficha de alto riesgo; Probabilidad estructural alta</t>
        </is>
      </c>
    </row>
    <row r="163">
      <c r="A163" s="44" t="n">
        <v>95</v>
      </c>
      <c r="B163" s="24" t="inlineStr">
        <is>
          <t>APR-6EFF21805C</t>
        </is>
      </c>
      <c r="C163" s="24" t="inlineStr">
        <is>
          <t>3171542</t>
        </is>
      </c>
      <c r="D163" s="24" t="inlineStr">
        <is>
          <t>Sistemas Integrados de Gestión</t>
        </is>
      </c>
      <c r="E163" s="24" t="inlineStr">
        <is>
          <t>DIURNA</t>
        </is>
      </c>
      <c r="F163" s="45" t="n">
        <v>0.6379</v>
      </c>
      <c r="G163" s="53" t="n">
        <v>95.3</v>
      </c>
      <c r="H163" s="24" t="inlineStr">
        <is>
          <t>Alto</t>
        </is>
      </c>
      <c r="I163" s="24" t="inlineStr">
        <is>
          <t>Seguimiento</t>
        </is>
      </c>
      <c r="J163" s="24" t="inlineStr">
        <is>
          <t>Ficha de alto riesgo; Probabilidad estructural alta; Estado condicionado/aplazado</t>
        </is>
      </c>
    </row>
    <row r="164">
      <c r="A164" s="42" t="n">
        <v>96</v>
      </c>
      <c r="B164" s="41" t="inlineStr">
        <is>
          <t>APR-F8256C98E3</t>
        </is>
      </c>
      <c r="C164" s="41" t="inlineStr">
        <is>
          <t>3171542</t>
        </is>
      </c>
      <c r="D164" s="41" t="inlineStr">
        <is>
          <t>Sistemas Integrados de Gestión</t>
        </is>
      </c>
      <c r="E164" s="41" t="inlineStr">
        <is>
          <t>DIURNA</t>
        </is>
      </c>
      <c r="F164" s="43" t="n">
        <v>0.6379</v>
      </c>
      <c r="G164" s="54" t="n">
        <v>95.3</v>
      </c>
      <c r="H164" s="41" t="inlineStr">
        <is>
          <t>Alto</t>
        </is>
      </c>
      <c r="I164" s="41" t="inlineStr">
        <is>
          <t>Seguimiento</t>
        </is>
      </c>
      <c r="J164" s="41" t="inlineStr">
        <is>
          <t>Ficha de alto riesgo; Probabilidad estructural alta</t>
        </is>
      </c>
    </row>
    <row r="165">
      <c r="A165" s="44" t="n">
        <v>97</v>
      </c>
      <c r="B165" s="24" t="inlineStr">
        <is>
          <t>APR-E6B863F0DB</t>
        </is>
      </c>
      <c r="C165" s="24" t="inlineStr">
        <is>
          <t>3171542</t>
        </is>
      </c>
      <c r="D165" s="24" t="inlineStr">
        <is>
          <t>Sistemas Integrados de Gestión</t>
        </is>
      </c>
      <c r="E165" s="24" t="inlineStr">
        <is>
          <t>DIURNA</t>
        </is>
      </c>
      <c r="F165" s="45" t="n">
        <v>0.6379</v>
      </c>
      <c r="G165" s="53" t="n">
        <v>95.3</v>
      </c>
      <c r="H165" s="24" t="inlineStr">
        <is>
          <t>Alto</t>
        </is>
      </c>
      <c r="I165" s="24" t="inlineStr">
        <is>
          <t>Seguimiento</t>
        </is>
      </c>
      <c r="J165" s="24" t="inlineStr">
        <is>
          <t>Ficha de alto riesgo; Probabilidad estructural alta</t>
        </is>
      </c>
    </row>
    <row r="166">
      <c r="A166" s="42" t="n">
        <v>98</v>
      </c>
      <c r="B166" s="41" t="inlineStr">
        <is>
          <t>APR-706004AC66</t>
        </is>
      </c>
      <c r="C166" s="41" t="inlineStr">
        <is>
          <t>3171542</t>
        </is>
      </c>
      <c r="D166" s="41" t="inlineStr">
        <is>
          <t>Sistemas Integrados de Gestión</t>
        </is>
      </c>
      <c r="E166" s="41" t="inlineStr">
        <is>
          <t>DIURNA</t>
        </is>
      </c>
      <c r="F166" s="43" t="n">
        <v>0.6379</v>
      </c>
      <c r="G166" s="54" t="n">
        <v>95.3</v>
      </c>
      <c r="H166" s="41" t="inlineStr">
        <is>
          <t>Alto</t>
        </is>
      </c>
      <c r="I166" s="41" t="inlineStr">
        <is>
          <t>Seguimiento</t>
        </is>
      </c>
      <c r="J166" s="41" t="inlineStr">
        <is>
          <t>Ficha de alto riesgo; Probabilidad estructural alta</t>
        </is>
      </c>
    </row>
    <row r="167">
      <c r="A167" s="44" t="n">
        <v>99</v>
      </c>
      <c r="B167" s="24" t="inlineStr">
        <is>
          <t>APR-8CC931A7A3</t>
        </is>
      </c>
      <c r="C167" s="24" t="inlineStr">
        <is>
          <t>3171542</t>
        </is>
      </c>
      <c r="D167" s="24" t="inlineStr">
        <is>
          <t>Sistemas Integrados de Gestión</t>
        </is>
      </c>
      <c r="E167" s="24" t="inlineStr">
        <is>
          <t>DIURNA</t>
        </is>
      </c>
      <c r="F167" s="45" t="n">
        <v>0.6379</v>
      </c>
      <c r="G167" s="53" t="n">
        <v>95.3</v>
      </c>
      <c r="H167" s="24" t="inlineStr">
        <is>
          <t>Alto</t>
        </is>
      </c>
      <c r="I167" s="24" t="inlineStr">
        <is>
          <t>Seguimiento</t>
        </is>
      </c>
      <c r="J167" s="24" t="inlineStr">
        <is>
          <t>Ficha de alto riesgo; Probabilidad estructural alta</t>
        </is>
      </c>
    </row>
    <row r="168">
      <c r="A168" s="42" t="n">
        <v>100</v>
      </c>
      <c r="B168" s="41" t="inlineStr">
        <is>
          <t>APR-5AB430582F</t>
        </is>
      </c>
      <c r="C168" s="41" t="inlineStr">
        <is>
          <t>3171542</t>
        </is>
      </c>
      <c r="D168" s="41" t="inlineStr">
        <is>
          <t>Sistemas Integrados de Gestión</t>
        </is>
      </c>
      <c r="E168" s="41" t="inlineStr">
        <is>
          <t>DIURNA</t>
        </is>
      </c>
      <c r="F168" s="43" t="n">
        <v>0.6379</v>
      </c>
      <c r="G168" s="54" t="n">
        <v>95.3</v>
      </c>
      <c r="H168" s="41" t="inlineStr">
        <is>
          <t>Alto</t>
        </is>
      </c>
      <c r="I168" s="41" t="inlineStr">
        <is>
          <t>Seguimiento</t>
        </is>
      </c>
      <c r="J168" s="41" t="inlineStr">
        <is>
          <t>Ficha de alto riesgo; Probabilidad estructural alta</t>
        </is>
      </c>
    </row>
    <row r="170" ht="44" customHeight="1">
      <c r="A170" s="52" t="inlineStr">
        <is>
          <t>La lista individual es una cola de trabajo operativa basada en la ficha y en variables estructurales. No es una predicción personal validada: el modelo individual tiene AUC 0,467. No use esta lista para sancionar, negar cupos ni certificar. El identificador es un hash; no permite recuperar el documento original.</t>
        </is>
      </c>
      <c r="B170" s="29" t="n"/>
      <c r="C170" s="29" t="n"/>
      <c r="D170" s="29" t="n"/>
      <c r="E170" s="29" t="n"/>
      <c r="F170" s="29" t="n"/>
      <c r="G170" s="29" t="n"/>
      <c r="H170" s="29" t="n"/>
      <c r="I170" s="29" t="n"/>
      <c r="J170" s="29" t="n"/>
      <c r="K170" s="29" t="n"/>
      <c r="L170" s="29" t="n"/>
      <c r="M170" s="29" t="n"/>
      <c r="N170" s="29" t="n"/>
    </row>
  </sheetData>
  <mergeCells count="10">
    <mergeCell ref="A40:N40"/>
    <mergeCell ref="A67:N67"/>
    <mergeCell ref="A26:N26"/>
    <mergeCell ref="A20:N20"/>
    <mergeCell ref="A2:N2"/>
    <mergeCell ref="A49:N49"/>
    <mergeCell ref="A170:N170"/>
    <mergeCell ref="A46:N46"/>
    <mergeCell ref="A14:N14"/>
    <mergeCell ref="A1:N1"/>
  </mergeCells>
  <pageMargins left="0.35" right="0.35" top="0.45" bottom="0.45" header="0.5" footer="0.5"/>
  <pageSetup orientation="landscape" fitToHeight="0" fitToWidth="1"/>
  <headerFooter>
    <oddHeader/>
    <oddFooter>&amp;C&amp;8 &amp;K808080Caracterización de Aprendices Centro ASTIN · Corte 19/10/2026 · Datos sin PII</oddFooter>
    <evenHeader/>
    <evenFooter/>
    <firstHeader/>
    <firstFooter/>
  </headerFooter>
  <drawing xmlns:r="http://schemas.openxmlformats.org/officeDocument/2006/relationships" r:id="rId1"/>
  <tableParts count="6">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8.xml><?xml version="1.0" encoding="utf-8"?>
<worksheet xmlns="http://schemas.openxmlformats.org/spreadsheetml/2006/main">
  <sheetPr>
    <outlinePr summaryBelow="1" summaryRight="1"/>
    <pageSetUpPr fitToPage="1"/>
  </sheetPr>
  <dimension ref="A1:H219"/>
  <sheetViews>
    <sheetView showGridLines="0" workbookViewId="0">
      <pane ySplit="23" topLeftCell="A24" activePane="bottomLeft" state="frozen"/>
      <selection pane="bottomLeft" activeCell="A1" sqref="A1"/>
    </sheetView>
  </sheetViews>
  <sheetFormatPr baseColWidth="8" defaultRowHeight="15"/>
  <cols>
    <col width="24" customWidth="1" min="1" max="1"/>
    <col width="30" customWidth="1" min="2" max="2"/>
    <col width="13" customWidth="1" min="3" max="3"/>
    <col width="100" customWidth="1" min="4" max="4"/>
    <col width="66" customWidth="1" min="5" max="5"/>
  </cols>
  <sheetData>
    <row r="1" ht="38" customHeight="1">
      <c r="A1" s="35" t="inlineStr">
        <is>
          <t>Diccionario de datos</t>
        </is>
      </c>
      <c r="B1" s="2" t="n"/>
      <c r="C1" s="2" t="n"/>
      <c r="D1" s="2" t="n"/>
      <c r="E1" s="2" t="n"/>
      <c r="F1" s="2" t="n"/>
      <c r="G1" s="2" t="n"/>
      <c r="H1" s="2" t="n"/>
    </row>
    <row r="2" ht="24" customHeight="1">
      <c r="A2" s="36" t="inlineStr">
        <is>
          <t>Tablas, grano, columnas y reglas de privacidad del modelo analítico.</t>
        </is>
      </c>
      <c r="B2" s="37" t="n"/>
      <c r="C2" s="37" t="n"/>
      <c r="D2" s="37" t="n"/>
      <c r="E2" s="37" t="n"/>
      <c r="F2" s="37" t="n"/>
      <c r="G2" s="37" t="n"/>
      <c r="H2" s="37" t="n"/>
    </row>
    <row r="4" ht="27" customHeight="1">
      <c r="A4" s="40" t="inlineStr">
        <is>
          <t>Tabla</t>
        </is>
      </c>
      <c r="B4" s="40" t="inlineStr">
        <is>
          <t>Grano</t>
        </is>
      </c>
      <c r="C4" s="40" t="inlineStr">
        <is>
          <t>Filas</t>
        </is>
      </c>
      <c r="D4" s="40" t="inlineStr">
        <is>
          <t>Tipo</t>
        </is>
      </c>
      <c r="E4" s="40" t="inlineStr">
        <is>
          <t>Nota</t>
        </is>
      </c>
    </row>
    <row r="5">
      <c r="A5" s="24" t="inlineStr">
        <is>
          <t>FactMatricula</t>
        </is>
      </c>
      <c r="B5" s="24" t="inlineStr">
        <is>
          <t>Matrícula de aprendiz en ficha</t>
        </is>
      </c>
      <c r="C5" s="44" t="n">
        <v>1592</v>
      </c>
      <c r="D5" s="24" t="inlineStr">
        <is>
          <t>Hecho</t>
        </is>
      </c>
      <c r="E5" s="24" t="inlineStr">
        <is>
          <t>Una fila por matrícula; un aprendiz puede tener dos fichas.</t>
        </is>
      </c>
    </row>
    <row r="6">
      <c r="A6" s="41" t="inlineStr">
        <is>
          <t>FactProyeccionMatricula</t>
        </is>
      </c>
      <c r="B6" s="41" t="inlineStr">
        <is>
          <t>Ficha × escenario</t>
        </is>
      </c>
      <c r="C6" s="42" t="n">
        <v>168</v>
      </c>
      <c r="D6" s="41" t="inlineStr">
        <is>
          <t>Hecho</t>
        </is>
      </c>
      <c r="E6" s="41" t="inlineStr">
        <is>
          <t>168 filas: 56 fichas × 3 escenarios.</t>
        </is>
      </c>
    </row>
    <row r="7">
      <c r="A7" s="24" t="inlineStr">
        <is>
          <t>DimAprendiz</t>
        </is>
      </c>
      <c r="B7" s="24" t="inlineStr">
        <is>
          <t>Persona (documento hasheado)</t>
        </is>
      </c>
      <c r="C7" s="44" t="n">
        <v>1583</v>
      </c>
      <c r="D7" s="24" t="inlineStr">
        <is>
          <t>Dimensión</t>
        </is>
      </c>
      <c r="E7" s="24" t="inlineStr">
        <is>
          <t>Sin nombres, documentos, celulares ni correos.</t>
        </is>
      </c>
    </row>
    <row r="8">
      <c r="A8" s="41" t="inlineStr">
        <is>
          <t>DimFicha</t>
        </is>
      </c>
      <c r="B8" s="41" t="inlineStr">
        <is>
          <t>Ficha</t>
        </is>
      </c>
      <c r="C8" s="42" t="n">
        <v>56</v>
      </c>
      <c r="D8" s="41" t="inlineStr">
        <is>
          <t>Dimensión</t>
        </is>
      </c>
      <c r="E8" s="41" t="inlineStr">
        <is>
          <t>Incluye tasa, riesgo y probabilidad estructural.</t>
        </is>
      </c>
    </row>
    <row r="9">
      <c r="A9" s="24" t="inlineStr">
        <is>
          <t>DimPrograma</t>
        </is>
      </c>
      <c r="B9" s="24" t="inlineStr">
        <is>
          <t>Programa normalizado</t>
        </is>
      </c>
      <c r="C9" s="44" t="n">
        <v>15</v>
      </c>
      <c r="D9" s="24" t="inlineStr">
        <is>
          <t>Dimensión</t>
        </is>
      </c>
      <c r="E9" s="24" t="inlineStr">
        <is>
          <t>15 nombres canónicos.</t>
        </is>
      </c>
    </row>
    <row r="10">
      <c r="A10" s="41" t="inlineStr">
        <is>
          <t>DimJornada</t>
        </is>
      </c>
      <c r="B10" s="41" t="inlineStr">
        <is>
          <t>Jornada</t>
        </is>
      </c>
      <c r="C10" s="42" t="n">
        <v>3</v>
      </c>
      <c r="D10" s="41" t="inlineStr">
        <is>
          <t>Dimensión</t>
        </is>
      </c>
      <c r="E10" s="41" t="inlineStr">
        <is>
          <t>DIURNA, NOCTURNA, No informado.</t>
        </is>
      </c>
    </row>
    <row r="11">
      <c r="A11" s="24" t="inlineStr">
        <is>
          <t>DimEstado</t>
        </is>
      </c>
      <c r="B11" s="24" t="inlineStr">
        <is>
          <t>Estado de matrícula</t>
        </is>
      </c>
      <c r="C11" s="44" t="n">
        <v>7</v>
      </c>
      <c r="D11" s="24" t="inlineStr">
        <is>
          <t>Dimensión</t>
        </is>
      </c>
      <c r="E11" s="24" t="inlineStr">
        <is>
          <t>7 estados; reglas de pérdida documentadas.</t>
        </is>
      </c>
    </row>
    <row r="12">
      <c r="A12" s="41" t="inlineStr">
        <is>
          <t>DimTiempo</t>
        </is>
      </c>
      <c r="B12" s="41" t="inlineStr">
        <is>
          <t>Día</t>
        </is>
      </c>
      <c r="C12" s="42" t="n">
        <v>1095</v>
      </c>
      <c r="D12" s="41" t="inlineStr">
        <is>
          <t>Dimensión</t>
        </is>
      </c>
      <c r="E12" s="41" t="inlineStr">
        <is>
          <t>2024–2026; solo el corte tiene hechos.</t>
        </is>
      </c>
    </row>
    <row r="13">
      <c r="A13" s="24" t="inlineStr">
        <is>
          <t>DimCentroFormacion</t>
        </is>
      </c>
      <c r="B13" s="24" t="inlineStr">
        <is>
          <t>Centro</t>
        </is>
      </c>
      <c r="C13" s="44" t="n">
        <v>1</v>
      </c>
      <c r="D13" s="24" t="inlineStr">
        <is>
          <t>Dimensión</t>
        </is>
      </c>
      <c r="E13" s="24" t="inlineStr">
        <is>
          <t>Un centro.</t>
        </is>
      </c>
    </row>
    <row r="14">
      <c r="A14" s="41" t="inlineStr">
        <is>
          <t>DimNivelFormacion</t>
        </is>
      </c>
      <c r="B14" s="41" t="inlineStr">
        <is>
          <t>Nivel</t>
        </is>
      </c>
      <c r="C14" s="42" t="n">
        <v>3</v>
      </c>
      <c r="D14" s="41" t="inlineStr">
        <is>
          <t>Dimensión</t>
        </is>
      </c>
      <c r="E14" s="41" t="inlineStr">
        <is>
          <t>Técnico, Tecnólogo, No informado.</t>
        </is>
      </c>
    </row>
    <row r="15">
      <c r="A15" s="24" t="inlineStr">
        <is>
          <t>DimMunicipio</t>
        </is>
      </c>
      <c r="B15" s="24" t="inlineStr">
        <is>
          <t>Municipio</t>
        </is>
      </c>
      <c r="C15" s="44" t="n">
        <v>1</v>
      </c>
      <c r="D15" s="24" t="inlineStr">
        <is>
          <t>Dimensión</t>
        </is>
      </c>
      <c r="E15" s="24" t="inlineStr">
        <is>
          <t>No informado en la fuente.</t>
        </is>
      </c>
    </row>
    <row r="16">
      <c r="A16" s="41" t="inlineStr">
        <is>
          <t>DimDepartamento</t>
        </is>
      </c>
      <c r="B16" s="41" t="inlineStr">
        <is>
          <t>Departamento</t>
        </is>
      </c>
      <c r="C16" s="42" t="n">
        <v>1</v>
      </c>
      <c r="D16" s="41" t="inlineStr">
        <is>
          <t>Dimensión</t>
        </is>
      </c>
      <c r="E16" s="41" t="inlineStr">
        <is>
          <t>No informado en la fuente.</t>
        </is>
      </c>
    </row>
    <row r="17">
      <c r="A17" s="24" t="inlineStr">
        <is>
          <t>DimGeneracion</t>
        </is>
      </c>
      <c r="B17" s="24" t="inlineStr">
        <is>
          <t>Prefijo de ficha</t>
        </is>
      </c>
      <c r="C17" s="44" t="n">
        <v>17</v>
      </c>
      <c r="D17" s="24" t="inlineStr">
        <is>
          <t>Dimensión</t>
        </is>
      </c>
      <c r="E17" s="24" t="inlineStr">
        <is>
          <t>Proxy de generación; no es año calendario.</t>
        </is>
      </c>
    </row>
    <row r="18">
      <c r="A18" s="41" t="inlineStr">
        <is>
          <t>DimRiesgo</t>
        </is>
      </c>
      <c r="B18" s="41" t="inlineStr">
        <is>
          <t>Banda de riesgo</t>
        </is>
      </c>
      <c r="C18" s="42" t="n">
        <v>4</v>
      </c>
      <c r="D18" s="41" t="inlineStr">
        <is>
          <t>Dimensión</t>
        </is>
      </c>
      <c r="E18" s="41" t="inlineStr">
        <is>
          <t>Bajo, Medio, Alto, Crítico.</t>
        </is>
      </c>
    </row>
    <row r="22" ht="21" customHeight="1">
      <c r="A22" s="22" t="inlineStr">
        <is>
          <t>Columnas</t>
        </is>
      </c>
      <c r="B22" s="2" t="n"/>
      <c r="C22" s="2" t="n"/>
      <c r="D22" s="2" t="n"/>
      <c r="E22" s="2" t="n"/>
      <c r="F22" s="2" t="n"/>
      <c r="G22" s="2" t="n"/>
      <c r="H22" s="2" t="n"/>
    </row>
    <row r="23" ht="27" customHeight="1">
      <c r="A23" s="40" t="inlineStr">
        <is>
          <t>Tabla</t>
        </is>
      </c>
      <c r="B23" s="40" t="inlineStr">
        <is>
          <t>Columna</t>
        </is>
      </c>
      <c r="C23" s="40" t="inlineStr">
        <is>
          <t>Tipo</t>
        </is>
      </c>
      <c r="D23" s="40" t="inlineStr">
        <is>
          <t>Descripción</t>
        </is>
      </c>
    </row>
    <row r="24">
      <c r="A24" s="41" t="inlineStr">
        <is>
          <t>DimAprendiz</t>
        </is>
      </c>
      <c r="B24" s="41" t="inlineStr">
        <is>
          <t>AprendizID</t>
        </is>
      </c>
      <c r="C24" s="41" t="inlineStr">
        <is>
          <t>Texto</t>
        </is>
      </c>
      <c r="D24" s="41" t="inlineStr">
        <is>
          <t>Identificador seudónimo del aprendiz (SHA-256 del documento, truncado). No permite recuperar el documento.</t>
        </is>
      </c>
    </row>
    <row r="25">
      <c r="A25" s="24" t="inlineStr">
        <is>
          <t>DimAprendiz</t>
        </is>
      </c>
      <c r="B25" s="24" t="inlineStr">
        <is>
          <t>TipoDocumento</t>
        </is>
      </c>
      <c r="C25" s="24" t="inlineStr">
        <is>
          <t>Texto</t>
        </is>
      </c>
      <c r="D25" s="24" t="inlineStr">
        <is>
          <t>Tipo de documento (TI, CC, PPT, CE). Se usa solo como proxy grueso de edad; no es edad.</t>
        </is>
      </c>
    </row>
    <row r="26">
      <c r="A26" s="41" t="inlineStr">
        <is>
          <t>DimAprendiz</t>
        </is>
      </c>
      <c r="B26" s="41" t="inlineStr">
        <is>
          <t>Genero</t>
        </is>
      </c>
      <c r="C26" s="41" t="inlineStr">
        <is>
          <t>Texto</t>
        </is>
      </c>
      <c r="D26" s="41" t="inlineStr">
        <is>
          <t>Género declarado. La fuente no lo trae: todos los registros quedan 'No informado'.</t>
        </is>
      </c>
    </row>
    <row r="27">
      <c r="A27" s="24" t="inlineStr">
        <is>
          <t>DimAprendiz</t>
        </is>
      </c>
      <c r="B27" s="24" t="inlineStr">
        <is>
          <t>GeneroFuente</t>
        </is>
      </c>
      <c r="C27" s="24" t="inlineStr">
        <is>
          <t>Texto</t>
        </is>
      </c>
      <c r="D27" s="24" t="inlineStr">
        <is>
          <t>Origen del dato de género; documenta que no está disponible en la fuente.</t>
        </is>
      </c>
    </row>
    <row r="28">
      <c r="A28" s="41" t="inlineStr">
        <is>
          <t>DimAprendiz</t>
        </is>
      </c>
      <c r="B28" s="41" t="inlineStr">
        <is>
          <t>GrupoEdadProxy</t>
        </is>
      </c>
      <c r="C28" s="41" t="inlineStr">
        <is>
          <t>Texto</t>
        </is>
      </c>
      <c r="D28" s="41" t="inlineStr">
        <is>
          <t>Grupo de edad inferido del tipo de documento. Proxy, no edad real.</t>
        </is>
      </c>
    </row>
    <row r="29">
      <c r="A29" s="24" t="inlineStr">
        <is>
          <t>DimAprendiz</t>
        </is>
      </c>
      <c r="B29" s="24" t="inlineStr">
        <is>
          <t>Edad</t>
        </is>
      </c>
      <c r="C29" s="24" t="inlineStr">
        <is>
          <t>Numérico</t>
        </is>
      </c>
      <c r="D29" s="24" t="inlineStr">
        <is>
          <t>Edad. No disponible en la fuente; queda vacía.</t>
        </is>
      </c>
    </row>
    <row r="30">
      <c r="A30" s="41" t="inlineStr">
        <is>
          <t>DimAprendiz</t>
        </is>
      </c>
      <c r="B30" s="41" t="inlineStr">
        <is>
          <t>MunicipioID</t>
        </is>
      </c>
      <c r="C30" s="41" t="inlineStr">
        <is>
          <t>Texto</t>
        </is>
      </c>
      <c r="D30" s="41" t="inlineStr">
        <is>
          <t>Llave del municipio. La fuente no lo trae: 'No informado'.</t>
        </is>
      </c>
    </row>
    <row r="31">
      <c r="A31" s="24" t="inlineStr">
        <is>
          <t>DimAprendiz</t>
        </is>
      </c>
      <c r="B31" s="24" t="inlineStr">
        <is>
          <t>DepartamentoID</t>
        </is>
      </c>
      <c r="C31" s="24" t="inlineStr">
        <is>
          <t>Texto</t>
        </is>
      </c>
      <c r="D31" s="24" t="inlineStr">
        <is>
          <t>Llave del departamento. La fuente no lo trae: 'No informado'.</t>
        </is>
      </c>
    </row>
    <row r="32">
      <c r="A32" s="41" t="inlineStr">
        <is>
          <t>DimAprendiz</t>
        </is>
      </c>
      <c r="B32" s="41" t="inlineStr">
        <is>
          <t>EmailDominio</t>
        </is>
      </c>
      <c r="C32" s="41" t="inlineStr">
        <is>
          <t>Texto</t>
        </is>
      </c>
      <c r="D32" s="41" t="inlineStr">
        <is>
          <t>Dominio del correo (sin usuario). Sirve para calidad de contacto, no para identificar personas.</t>
        </is>
      </c>
    </row>
    <row r="33">
      <c r="A33" s="24" t="inlineStr">
        <is>
          <t>DimAprendiz</t>
        </is>
      </c>
      <c r="B33" s="24" t="inlineStr">
        <is>
          <t>TieneCelular</t>
        </is>
      </c>
      <c r="C33" s="24" t="inlineStr">
        <is>
          <t>Numérico</t>
        </is>
      </c>
      <c r="D33" s="24" t="inlineStr">
        <is>
          <t>1 si hay celular registrado; 0 si no.</t>
        </is>
      </c>
    </row>
    <row r="34">
      <c r="A34" s="41" t="inlineStr">
        <is>
          <t>DimAprendiz</t>
        </is>
      </c>
      <c r="B34" s="41" t="inlineStr">
        <is>
          <t>CelularValido</t>
        </is>
      </c>
      <c r="C34" s="41" t="inlineStr">
        <is>
          <t>Numérico</t>
        </is>
      </c>
      <c r="D34" s="41" t="inlineStr">
        <is>
          <t>1 si el celular tiene exactamente 10 dígitos.</t>
        </is>
      </c>
    </row>
    <row r="35">
      <c r="A35" s="24" t="inlineStr">
        <is>
          <t>DimAprendiz</t>
        </is>
      </c>
      <c r="B35" s="24" t="inlineStr">
        <is>
          <t>EmailValido</t>
        </is>
      </c>
      <c r="C35" s="24" t="inlineStr">
        <is>
          <t>Numérico</t>
        </is>
      </c>
      <c r="D35" s="24" t="inlineStr">
        <is>
          <t>1 si el correo cumple estructura básica y dominio con punto.</t>
        </is>
      </c>
    </row>
    <row r="36">
      <c r="A36" s="41" t="inlineStr">
        <is>
          <t>DimAprendiz</t>
        </is>
      </c>
      <c r="B36" s="41" t="inlineStr">
        <is>
          <t>ContactoCompleto</t>
        </is>
      </c>
      <c r="C36" s="41" t="inlineStr">
        <is>
          <t>Numérico</t>
        </is>
      </c>
      <c r="D36" s="41" t="inlineStr">
        <is>
          <t>1 si celular y correo son válidos. Bandera operativa, no factor de riesgo.</t>
        </is>
      </c>
    </row>
    <row r="37">
      <c r="A37" s="24" t="inlineStr">
        <is>
          <t>DimAprendiz</t>
        </is>
      </c>
      <c r="B37" s="24" t="inlineStr">
        <is>
          <t>TotalMatriculas</t>
        </is>
      </c>
      <c r="C37" s="24" t="inlineStr">
        <is>
          <t>Numérico</t>
        </is>
      </c>
      <c r="D37" s="24" t="inlineStr">
        <is>
          <t>Número de matrículas asociadas.</t>
        </is>
      </c>
    </row>
    <row r="38">
      <c r="A38" s="41" t="inlineStr">
        <is>
          <t>DimAprendiz</t>
        </is>
      </c>
      <c r="B38" s="41" t="inlineStr">
        <is>
          <t>TotalFichas</t>
        </is>
      </c>
      <c r="C38" s="41" t="inlineStr">
        <is>
          <t>Numérico</t>
        </is>
      </c>
      <c r="D38" s="41" t="inlineStr">
        <is>
          <t>Número de fichas del programa.</t>
        </is>
      </c>
    </row>
    <row r="39">
      <c r="A39" s="24" t="inlineStr">
        <is>
          <t>DimAprendiz</t>
        </is>
      </c>
      <c r="B39" s="24" t="inlineStr">
        <is>
          <t>PrimeraFicha</t>
        </is>
      </c>
      <c r="C39" s="24" t="inlineStr">
        <is>
          <t>Numérico</t>
        </is>
      </c>
      <c r="D39" s="24" t="inlineStr">
        <is>
          <t>Primera ficha observada para el aprendiz en el corte.</t>
        </is>
      </c>
    </row>
    <row r="40">
      <c r="A40" s="41" t="inlineStr">
        <is>
          <t>DimAprendiz</t>
        </is>
      </c>
      <c r="B40" s="41" t="inlineStr">
        <is>
          <t>UltimaFicha</t>
        </is>
      </c>
      <c r="C40" s="41" t="inlineStr">
        <is>
          <t>Numérico</t>
        </is>
      </c>
      <c r="D40" s="41" t="inlineStr">
        <is>
          <t>Última ficha observada para el aprendiz en el corte.</t>
        </is>
      </c>
    </row>
    <row r="41">
      <c r="A41" s="24" t="inlineStr">
        <is>
          <t>DimAprendiz</t>
        </is>
      </c>
      <c r="B41" s="24" t="inlineStr">
        <is>
          <t>EstadoActual</t>
        </is>
      </c>
      <c r="C41" s="24" t="inlineStr">
        <is>
          <t>Texto</t>
        </is>
      </c>
      <c r="D41" s="24" t="inlineStr">
        <is>
          <t>Estado de la matrícula en el corte.</t>
        </is>
      </c>
    </row>
    <row r="42">
      <c r="A42" s="41" t="inlineStr">
        <is>
          <t>DimAprendiz</t>
        </is>
      </c>
      <c r="B42" s="41" t="inlineStr">
        <is>
          <t>TieneMultiplesFichas</t>
        </is>
      </c>
      <c r="C42" s="41" t="inlineStr">
        <is>
          <t>Numérico</t>
        </is>
      </c>
      <c r="D42" s="41" t="inlineStr">
        <is>
          <t>1 si el aprendiz aparece en más de una ficha.</t>
        </is>
      </c>
    </row>
    <row r="43">
      <c r="A43" s="24" t="inlineStr">
        <is>
          <t>DimAprendiz</t>
        </is>
      </c>
      <c r="B43" s="24" t="inlineStr">
        <is>
          <t>ProbPerdidaMax</t>
        </is>
      </c>
      <c r="C43" s="24" t="inlineStr">
        <is>
          <t>Numérico</t>
        </is>
      </c>
      <c r="D43" s="24" t="inlineStr">
        <is>
          <t>Máxima probabilidad estructural entre las fichas del aprendiz. No es probabilidad individual validada.</t>
        </is>
      </c>
    </row>
    <row r="44">
      <c r="A44" s="41" t="inlineStr">
        <is>
          <t>DimAprendiz</t>
        </is>
      </c>
      <c r="B44" s="41" t="inlineStr">
        <is>
          <t>NivelAlertaAprendiz</t>
        </is>
      </c>
      <c r="C44" s="41" t="inlineStr">
        <is>
          <t>Texto</t>
        </is>
      </c>
      <c r="D44" s="41" t="inlineStr">
        <is>
          <t>Banda de alerta individual derivada del percentil de probabilidad estructural.</t>
        </is>
      </c>
    </row>
    <row r="45">
      <c r="A45" s="24" t="inlineStr">
        <is>
          <t>DimAprendiz</t>
        </is>
      </c>
      <c r="B45" s="24" t="inlineStr">
        <is>
          <t>RequiereIntervencion</t>
        </is>
      </c>
      <c r="C45" s="24" t="inlineStr">
        <is>
          <t>Numérico</t>
        </is>
      </c>
      <c r="D45" s="24" t="inlineStr">
        <is>
          <t>1 si requiere intervención.</t>
        </is>
      </c>
    </row>
    <row r="46">
      <c r="A46" s="41" t="inlineStr">
        <is>
          <t>DimAprendiz</t>
        </is>
      </c>
      <c r="B46" s="41" t="inlineStr">
        <is>
          <t>FichasRiesgoAlto</t>
        </is>
      </c>
      <c r="C46" s="41" t="inlineStr">
        <is>
          <t>Numérico</t>
        </is>
      </c>
      <c r="D46" s="41" t="inlineStr">
        <is>
          <t>Número de fichas del aprendiz con nivel Alto o Crítico.</t>
        </is>
      </c>
    </row>
    <row r="47">
      <c r="A47" s="24" t="inlineStr">
        <is>
          <t>DimAprendiz</t>
        </is>
      </c>
      <c r="B47" s="24" t="inlineStr">
        <is>
          <t>MotivoPrioridad</t>
        </is>
      </c>
      <c r="C47" s="24" t="inlineStr">
        <is>
          <t>Texto</t>
        </is>
      </c>
      <c r="D47" s="24" t="inlineStr">
        <is>
          <t>Explicación textual de la prioridad asignada.</t>
        </is>
      </c>
    </row>
    <row r="48">
      <c r="A48" s="41" t="inlineStr">
        <is>
          <t>DimCentroFormacion</t>
        </is>
      </c>
      <c r="B48" s="41" t="inlineStr">
        <is>
          <t>CentroID</t>
        </is>
      </c>
      <c r="C48" s="41" t="inlineStr">
        <is>
          <t>Texto</t>
        </is>
      </c>
      <c r="D48" s="41" t="inlineStr">
        <is>
          <t>Llave del centro de formación.</t>
        </is>
      </c>
    </row>
    <row r="49">
      <c r="A49" s="24" t="inlineStr">
        <is>
          <t>DimCentroFormacion</t>
        </is>
      </c>
      <c r="B49" s="24" t="inlineStr">
        <is>
          <t>CentroNombre</t>
        </is>
      </c>
      <c r="C49" s="24" t="inlineStr">
        <is>
          <t>Texto</t>
        </is>
      </c>
      <c r="D49" s="24" t="inlineStr">
        <is>
          <t>Campo del modelo analítico.</t>
        </is>
      </c>
    </row>
    <row r="50">
      <c r="A50" s="41" t="inlineStr">
        <is>
          <t>DimCentroFormacion</t>
        </is>
      </c>
      <c r="B50" s="41" t="inlineStr">
        <is>
          <t>Regional</t>
        </is>
      </c>
      <c r="C50" s="41" t="inlineStr">
        <is>
          <t>Texto</t>
        </is>
      </c>
      <c r="D50" s="41" t="inlineStr">
        <is>
          <t>Campo del modelo analítico.</t>
        </is>
      </c>
    </row>
    <row r="51">
      <c r="A51" s="24" t="inlineStr">
        <is>
          <t>DimCentroFormacion</t>
        </is>
      </c>
      <c r="B51" s="24" t="inlineStr">
        <is>
          <t>Ciudad</t>
        </is>
      </c>
      <c r="C51" s="24" t="inlineStr">
        <is>
          <t>Texto</t>
        </is>
      </c>
      <c r="D51" s="24" t="inlineStr">
        <is>
          <t>Campo del modelo analítico.</t>
        </is>
      </c>
    </row>
    <row r="52">
      <c r="A52" s="41" t="inlineStr">
        <is>
          <t>DimCentroFormacion</t>
        </is>
      </c>
      <c r="B52" s="41" t="inlineStr">
        <is>
          <t>CodigoCentro</t>
        </is>
      </c>
      <c r="C52" s="41" t="inlineStr">
        <is>
          <t>Texto</t>
        </is>
      </c>
      <c r="D52" s="41" t="inlineStr">
        <is>
          <t>Campo del modelo analítico.</t>
        </is>
      </c>
    </row>
    <row r="53">
      <c r="A53" s="24" t="inlineStr">
        <is>
          <t>DimCentroFormacion</t>
        </is>
      </c>
      <c r="B53" s="24" t="inlineStr">
        <is>
          <t>Nota</t>
        </is>
      </c>
      <c r="C53" s="24" t="inlineStr">
        <is>
          <t>Texto</t>
        </is>
      </c>
      <c r="D53" s="24" t="inlineStr">
        <is>
          <t>Nota metodológica.</t>
        </is>
      </c>
    </row>
    <row r="54">
      <c r="A54" s="41" t="inlineStr">
        <is>
          <t>DimDepartamento</t>
        </is>
      </c>
      <c r="B54" s="41" t="inlineStr">
        <is>
          <t>DepartamentoID</t>
        </is>
      </c>
      <c r="C54" s="41" t="inlineStr">
        <is>
          <t>Texto</t>
        </is>
      </c>
      <c r="D54" s="41" t="inlineStr">
        <is>
          <t>Llave del departamento. La fuente no lo trae: 'No informado'.</t>
        </is>
      </c>
    </row>
    <row r="55">
      <c r="A55" s="24" t="inlineStr">
        <is>
          <t>DimDepartamento</t>
        </is>
      </c>
      <c r="B55" s="24" t="inlineStr">
        <is>
          <t>Departamento</t>
        </is>
      </c>
      <c r="C55" s="24" t="inlineStr">
        <is>
          <t>Texto</t>
        </is>
      </c>
      <c r="D55" s="24" t="inlineStr">
        <is>
          <t>Campo del modelo analítico.</t>
        </is>
      </c>
    </row>
    <row r="56">
      <c r="A56" s="41" t="inlineStr">
        <is>
          <t>DimDepartamento</t>
        </is>
      </c>
      <c r="B56" s="41" t="inlineStr">
        <is>
          <t>CodigoDANE</t>
        </is>
      </c>
      <c r="C56" s="41" t="inlineStr">
        <is>
          <t>Texto</t>
        </is>
      </c>
      <c r="D56" s="41" t="inlineStr">
        <is>
          <t>Campo del modelo analítico.</t>
        </is>
      </c>
    </row>
    <row r="57">
      <c r="A57" s="24" t="inlineStr">
        <is>
          <t>DimDepartamento</t>
        </is>
      </c>
      <c r="B57" s="24" t="inlineStr">
        <is>
          <t>Nota</t>
        </is>
      </c>
      <c r="C57" s="24" t="inlineStr">
        <is>
          <t>Texto</t>
        </is>
      </c>
      <c r="D57" s="24" t="inlineStr">
        <is>
          <t>Nota metodológica.</t>
        </is>
      </c>
    </row>
    <row r="58">
      <c r="A58" s="41" t="inlineStr">
        <is>
          <t>DimEstado</t>
        </is>
      </c>
      <c r="B58" s="41" t="inlineStr">
        <is>
          <t>EstadoID</t>
        </is>
      </c>
      <c r="C58" s="41" t="inlineStr">
        <is>
          <t>Texto</t>
        </is>
      </c>
      <c r="D58" s="41" t="inlineStr">
        <is>
          <t>Llave del estado de matrícula.</t>
        </is>
      </c>
    </row>
    <row r="59">
      <c r="A59" s="24" t="inlineStr">
        <is>
          <t>DimEstado</t>
        </is>
      </c>
      <c r="B59" s="24" t="inlineStr">
        <is>
          <t>Estado</t>
        </is>
      </c>
      <c r="C59" s="24" t="inlineStr">
        <is>
          <t>Texto</t>
        </is>
      </c>
      <c r="D59" s="24" t="inlineStr">
        <is>
          <t>Nombre del estado de matrícula.</t>
        </is>
      </c>
    </row>
    <row r="60">
      <c r="A60" s="41" t="inlineStr">
        <is>
          <t>DimEstado</t>
        </is>
      </c>
      <c r="B60" s="41" t="inlineStr">
        <is>
          <t>Categoria</t>
        </is>
      </c>
      <c r="C60" s="41" t="inlineStr">
        <is>
          <t>Texto</t>
        </is>
      </c>
      <c r="D60" s="41" t="inlineStr">
        <is>
          <t>Categoría analítica del estado.</t>
        </is>
      </c>
    </row>
    <row r="61">
      <c r="A61" s="24" t="inlineStr">
        <is>
          <t>DimEstado</t>
        </is>
      </c>
      <c r="B61" s="24" t="inlineStr">
        <is>
          <t>EsVinculado</t>
        </is>
      </c>
      <c r="C61" s="24" t="inlineStr">
        <is>
          <t>Numérico</t>
        </is>
      </c>
      <c r="D61" s="24" t="inlineStr">
        <is>
          <t>1 si el estado cuenta como vinculado.</t>
        </is>
      </c>
    </row>
    <row r="62">
      <c r="A62" s="41" t="inlineStr">
        <is>
          <t>DimEstado</t>
        </is>
      </c>
      <c r="B62" s="41" t="inlineStr">
        <is>
          <t>EsActivo</t>
        </is>
      </c>
      <c r="C62" s="41" t="inlineStr">
        <is>
          <t>Numérico</t>
        </is>
      </c>
      <c r="D62" s="41" t="inlineStr">
        <is>
          <t>1 si el estado cuenta como activo.</t>
        </is>
      </c>
    </row>
    <row r="63">
      <c r="A63" s="24" t="inlineStr">
        <is>
          <t>DimEstado</t>
        </is>
      </c>
      <c r="B63" s="24" t="inlineStr">
        <is>
          <t>EsPerdida</t>
        </is>
      </c>
      <c r="C63" s="24" t="inlineStr">
        <is>
          <t>Numérico</t>
        </is>
      </c>
      <c r="D63" s="24" t="inlineStr">
        <is>
          <t>1 si la matrícula se canceló o retiró.</t>
        </is>
      </c>
    </row>
    <row r="64">
      <c r="A64" s="41" t="inlineStr">
        <is>
          <t>DimEstado</t>
        </is>
      </c>
      <c r="B64" s="41" t="inlineStr">
        <is>
          <t>EsCancelado</t>
        </is>
      </c>
      <c r="C64" s="41" t="inlineStr">
        <is>
          <t>Numérico</t>
        </is>
      </c>
      <c r="D64" s="41" t="inlineStr">
        <is>
          <t>1 si el estado es cancelado.</t>
        </is>
      </c>
    </row>
    <row r="65">
      <c r="A65" s="24" t="inlineStr">
        <is>
          <t>DimEstado</t>
        </is>
      </c>
      <c r="B65" s="24" t="inlineStr">
        <is>
          <t>EsRetirado</t>
        </is>
      </c>
      <c r="C65" s="24" t="inlineStr">
        <is>
          <t>Numérico</t>
        </is>
      </c>
      <c r="D65" s="24" t="inlineStr">
        <is>
          <t>1 si el estado es retiro voluntario.</t>
        </is>
      </c>
    </row>
    <row r="66">
      <c r="A66" s="41" t="inlineStr">
        <is>
          <t>DimEstado</t>
        </is>
      </c>
      <c r="B66" s="41" t="inlineStr">
        <is>
          <t>EsTrasladado</t>
        </is>
      </c>
      <c r="C66" s="41" t="inlineStr">
        <is>
          <t>Numérico</t>
        </is>
      </c>
      <c r="D66" s="41" t="inlineStr">
        <is>
          <t>1 si el estado es trasladado.</t>
        </is>
      </c>
    </row>
    <row r="67">
      <c r="A67" s="24" t="inlineStr">
        <is>
          <t>DimEstado</t>
        </is>
      </c>
      <c r="B67" s="24" t="inlineStr">
        <is>
          <t>EsSuspendido</t>
        </is>
      </c>
      <c r="C67" s="24" t="inlineStr">
        <is>
          <t>Numérico</t>
        </is>
      </c>
      <c r="D67" s="24" t="inlineStr">
        <is>
          <t>1 si el estado es suspendido (aplazado).</t>
        </is>
      </c>
    </row>
    <row r="68">
      <c r="A68" s="41" t="inlineStr">
        <is>
          <t>DimEstado</t>
        </is>
      </c>
      <c r="B68" s="41" t="inlineStr">
        <is>
          <t>EsRiesgo</t>
        </is>
      </c>
      <c r="C68" s="41" t="inlineStr">
        <is>
          <t>Numérico</t>
        </is>
      </c>
      <c r="D68" s="41" t="inlineStr">
        <is>
          <t>1 si el estado es condicionado o aplazado.</t>
        </is>
      </c>
    </row>
    <row r="69">
      <c r="A69" s="24" t="inlineStr">
        <is>
          <t>DimEstado</t>
        </is>
      </c>
      <c r="B69" s="24" t="inlineStr">
        <is>
          <t>EsCertificado</t>
        </is>
      </c>
      <c r="C69" s="24" t="inlineStr">
        <is>
          <t>Numérico</t>
        </is>
      </c>
      <c r="D69" s="24" t="inlineStr">
        <is>
          <t>1 si el estado es certificado. No hay registros en el corte.</t>
        </is>
      </c>
    </row>
    <row r="70">
      <c r="A70" s="41" t="inlineStr">
        <is>
          <t>DimEstado</t>
        </is>
      </c>
      <c r="B70" s="41" t="inlineStr">
        <is>
          <t>Orden</t>
        </is>
      </c>
      <c r="C70" s="41" t="inlineStr">
        <is>
          <t>Numérico</t>
        </is>
      </c>
      <c r="D70" s="41" t="inlineStr">
        <is>
          <t>Campo del modelo analítico.</t>
        </is>
      </c>
    </row>
    <row r="71">
      <c r="A71" s="24" t="inlineStr">
        <is>
          <t>DimEstado</t>
        </is>
      </c>
      <c r="B71" s="24" t="inlineStr">
        <is>
          <t>ColorHex</t>
        </is>
      </c>
      <c r="C71" s="24" t="inlineStr">
        <is>
          <t>Texto</t>
        </is>
      </c>
      <c r="D71" s="24" t="inlineStr">
        <is>
          <t>Campo del modelo analítico.</t>
        </is>
      </c>
    </row>
    <row r="72">
      <c r="A72" s="41" t="inlineStr">
        <is>
          <t>DimEstado</t>
        </is>
      </c>
      <c r="B72" s="41" t="inlineStr">
        <is>
          <t>Definicion</t>
        </is>
      </c>
      <c r="C72" s="41" t="inlineStr">
        <is>
          <t>Texto</t>
        </is>
      </c>
      <c r="D72" s="41" t="inlineStr">
        <is>
          <t>Definición funcional del estado.</t>
        </is>
      </c>
    </row>
    <row r="73">
      <c r="A73" s="24" t="inlineStr">
        <is>
          <t>DimFicha</t>
        </is>
      </c>
      <c r="B73" s="24" t="inlineStr">
        <is>
          <t>FichaID</t>
        </is>
      </c>
      <c r="C73" s="24" t="inlineStr">
        <is>
          <t>Numérico</t>
        </is>
      </c>
      <c r="D73" s="24" t="inlineStr">
        <is>
          <t>Número de ficha. Llave de la dimensión ficha.</t>
        </is>
      </c>
    </row>
    <row r="74">
      <c r="A74" s="41" t="inlineStr">
        <is>
          <t>DimFicha</t>
        </is>
      </c>
      <c r="B74" s="41" t="inlineStr">
        <is>
          <t>FichaNombre</t>
        </is>
      </c>
      <c r="C74" s="41" t="inlineStr">
        <is>
          <t>Texto</t>
        </is>
      </c>
      <c r="D74" s="41" t="inlineStr">
        <is>
          <t>Etiqueta descriptiva de la ficha.</t>
        </is>
      </c>
    </row>
    <row r="75">
      <c r="A75" s="24" t="inlineStr">
        <is>
          <t>DimFicha</t>
        </is>
      </c>
      <c r="B75" s="24" t="inlineStr">
        <is>
          <t>ProgramaID</t>
        </is>
      </c>
      <c r="C75" s="24" t="inlineStr">
        <is>
          <t>Texto</t>
        </is>
      </c>
      <c r="D75" s="24" t="inlineStr">
        <is>
          <t>Llave del programa normalizado.</t>
        </is>
      </c>
    </row>
    <row r="76">
      <c r="A76" s="41" t="inlineStr">
        <is>
          <t>DimFicha</t>
        </is>
      </c>
      <c r="B76" s="41" t="inlineStr">
        <is>
          <t>Jornada</t>
        </is>
      </c>
      <c r="C76" s="41" t="inlineStr">
        <is>
          <t>Texto</t>
        </is>
      </c>
      <c r="D76" s="41" t="inlineStr">
        <is>
          <t>Jornada de la ficha (DIURNA o NOCTURNA).</t>
        </is>
      </c>
    </row>
    <row r="77">
      <c r="A77" s="24" t="inlineStr">
        <is>
          <t>DimFicha</t>
        </is>
      </c>
      <c r="B77" s="24" t="inlineStr">
        <is>
          <t>GeneracionID</t>
        </is>
      </c>
      <c r="C77" s="24" t="inlineStr">
        <is>
          <t>Texto</t>
        </is>
      </c>
      <c r="D77" s="24" t="inlineStr">
        <is>
          <t>Generación proxy: prefijo de 3 dígitos de la ficha. No es año calendario.</t>
        </is>
      </c>
    </row>
    <row r="78">
      <c r="A78" s="41" t="inlineStr">
        <is>
          <t>DimFicha</t>
        </is>
      </c>
      <c r="B78" s="41" t="inlineStr">
        <is>
          <t>CentroID</t>
        </is>
      </c>
      <c r="C78" s="41" t="inlineStr">
        <is>
          <t>Texto</t>
        </is>
      </c>
      <c r="D78" s="41" t="inlineStr">
        <is>
          <t>Llave del centro de formación.</t>
        </is>
      </c>
    </row>
    <row r="79">
      <c r="A79" s="24" t="inlineStr">
        <is>
          <t>DimFicha</t>
        </is>
      </c>
      <c r="B79" s="24" t="inlineStr">
        <is>
          <t>EstadoFicha</t>
        </is>
      </c>
      <c r="C79" s="24" t="inlineStr">
        <is>
          <t>Texto</t>
        </is>
      </c>
      <c r="D79" s="24" t="inlineStr">
        <is>
          <t>Estado administrativo de la ficha en el corte.</t>
        </is>
      </c>
    </row>
    <row r="80">
      <c r="A80" s="41" t="inlineStr">
        <is>
          <t>DimFicha</t>
        </is>
      </c>
      <c r="B80" s="41" t="inlineStr">
        <is>
          <t>FechaReporte</t>
        </is>
      </c>
      <c r="C80" s="41" t="inlineStr">
        <is>
          <t>Fecha</t>
        </is>
      </c>
      <c r="D80" s="41" t="inlineStr">
        <is>
          <t>Fecha del corte: 2026-10-19.</t>
        </is>
      </c>
    </row>
    <row r="81">
      <c r="A81" s="24" t="inlineStr">
        <is>
          <t>DimFicha</t>
        </is>
      </c>
      <c r="B81" s="24" t="inlineStr">
        <is>
          <t>TotalMatriculas</t>
        </is>
      </c>
      <c r="C81" s="24" t="inlineStr">
        <is>
          <t>Numérico</t>
        </is>
      </c>
      <c r="D81" s="24" t="inlineStr">
        <is>
          <t>Número de matrículas asociadas.</t>
        </is>
      </c>
    </row>
    <row r="82">
      <c r="A82" s="41" t="inlineStr">
        <is>
          <t>DimFicha</t>
        </is>
      </c>
      <c r="B82" s="41" t="inlineStr">
        <is>
          <t>AprendicesActivos</t>
        </is>
      </c>
      <c r="C82" s="41" t="inlineStr">
        <is>
          <t>Numérico</t>
        </is>
      </c>
      <c r="D82" s="41" t="inlineStr">
        <is>
          <t>Aprendices en estado activo en la ficha.</t>
        </is>
      </c>
    </row>
    <row r="83">
      <c r="A83" s="24" t="inlineStr">
        <is>
          <t>DimFicha</t>
        </is>
      </c>
      <c r="B83" s="24" t="inlineStr">
        <is>
          <t>AprendicesVinculados</t>
        </is>
      </c>
      <c r="C83" s="24" t="inlineStr">
        <is>
          <t>Numérico</t>
        </is>
      </c>
      <c r="D83" s="24" t="inlineStr">
        <is>
          <t>Aprendices vinculados: activos más aplazados.</t>
        </is>
      </c>
    </row>
    <row r="84">
      <c r="A84" s="41" t="inlineStr">
        <is>
          <t>DimFicha</t>
        </is>
      </c>
      <c r="B84" s="41" t="inlineStr">
        <is>
          <t>EnFormacion</t>
        </is>
      </c>
      <c r="C84" s="41" t="inlineStr">
        <is>
          <t>Numérico</t>
        </is>
      </c>
      <c r="D84" s="41" t="inlineStr">
        <is>
          <t>Aprendices en formación.</t>
        </is>
      </c>
    </row>
    <row r="85">
      <c r="A85" s="24" t="inlineStr">
        <is>
          <t>DimFicha</t>
        </is>
      </c>
      <c r="B85" s="24" t="inlineStr">
        <is>
          <t>Induccion</t>
        </is>
      </c>
      <c r="C85" s="24" t="inlineStr">
        <is>
          <t>Numérico</t>
        </is>
      </c>
      <c r="D85" s="24" t="inlineStr">
        <is>
          <t>Aprendices en inducción.</t>
        </is>
      </c>
    </row>
    <row r="86">
      <c r="A86" s="41" t="inlineStr">
        <is>
          <t>DimFicha</t>
        </is>
      </c>
      <c r="B86" s="41" t="inlineStr">
        <is>
          <t>Condicionados</t>
        </is>
      </c>
      <c r="C86" s="41" t="inlineStr">
        <is>
          <t>Numérico</t>
        </is>
      </c>
      <c r="D86" s="41" t="inlineStr">
        <is>
          <t>Aprendices condicionados.</t>
        </is>
      </c>
    </row>
    <row r="87">
      <c r="A87" s="24" t="inlineStr">
        <is>
          <t>DimFicha</t>
        </is>
      </c>
      <c r="B87" s="24" t="inlineStr">
        <is>
          <t>Aplazados</t>
        </is>
      </c>
      <c r="C87" s="24" t="inlineStr">
        <is>
          <t>Numérico</t>
        </is>
      </c>
      <c r="D87" s="24" t="inlineStr">
        <is>
          <t>Aprendices aplazados.</t>
        </is>
      </c>
    </row>
    <row r="88">
      <c r="A88" s="41" t="inlineStr">
        <is>
          <t>DimFicha</t>
        </is>
      </c>
      <c r="B88" s="41" t="inlineStr">
        <is>
          <t>Cancelados</t>
        </is>
      </c>
      <c r="C88" s="41" t="inlineStr">
        <is>
          <t>Numérico</t>
        </is>
      </c>
      <c r="D88" s="41" t="inlineStr">
        <is>
          <t>Matrículas canceladas.</t>
        </is>
      </c>
    </row>
    <row r="89">
      <c r="A89" s="24" t="inlineStr">
        <is>
          <t>DimFicha</t>
        </is>
      </c>
      <c r="B89" s="24" t="inlineStr">
        <is>
          <t>Retiros</t>
        </is>
      </c>
      <c r="C89" s="24" t="inlineStr">
        <is>
          <t>Numérico</t>
        </is>
      </c>
      <c r="D89" s="24" t="inlineStr">
        <is>
          <t>Retiros voluntarios.</t>
        </is>
      </c>
    </row>
    <row r="90">
      <c r="A90" s="41" t="inlineStr">
        <is>
          <t>DimFicha</t>
        </is>
      </c>
      <c r="B90" s="41" t="inlineStr">
        <is>
          <t>Trasladados</t>
        </is>
      </c>
      <c r="C90" s="41" t="inlineStr">
        <is>
          <t>Numérico</t>
        </is>
      </c>
      <c r="D90" s="41" t="inlineStr">
        <is>
          <t>Traslados a otra ficha o centro.</t>
        </is>
      </c>
    </row>
    <row r="91">
      <c r="A91" s="24" t="inlineStr">
        <is>
          <t>DimFicha</t>
        </is>
      </c>
      <c r="B91" s="24" t="inlineStr">
        <is>
          <t>Certificados</t>
        </is>
      </c>
      <c r="C91" s="24" t="inlineStr">
        <is>
          <t>Numérico</t>
        </is>
      </c>
      <c r="D91" s="24" t="inlineStr">
        <is>
          <t>Certificados. La fuente no trae certificaciones: todos en 0.</t>
        </is>
      </c>
    </row>
    <row r="92">
      <c r="A92" s="41" t="inlineStr">
        <is>
          <t>DimFicha</t>
        </is>
      </c>
      <c r="B92" s="41" t="inlineStr">
        <is>
          <t>TasaPerdida</t>
        </is>
      </c>
      <c r="C92" s="41" t="inlineStr">
        <is>
          <t>Numérico</t>
        </is>
      </c>
      <c r="D92" s="41" t="inlineStr">
        <is>
          <t>Pérdidas / matrículas de la ficha.</t>
        </is>
      </c>
    </row>
    <row r="93">
      <c r="A93" s="24" t="inlineStr">
        <is>
          <t>DimFicha</t>
        </is>
      </c>
      <c r="B93" s="24" t="inlineStr">
        <is>
          <t>TasaPerdidaAjustada</t>
        </is>
      </c>
      <c r="C93" s="24" t="inlineStr">
        <is>
          <t>Numérico</t>
        </is>
      </c>
      <c r="D93" s="24" t="inlineStr">
        <is>
          <t>Tasa de pérdida suavizada por empirical Bayes (k=10).</t>
        </is>
      </c>
    </row>
    <row r="94">
      <c r="A94" s="41" t="inlineStr">
        <is>
          <t>DimFicha</t>
        </is>
      </c>
      <c r="B94" s="41" t="inlineStr">
        <is>
          <t>TasaCancelacion</t>
        </is>
      </c>
      <c r="C94" s="41" t="inlineStr">
        <is>
          <t>Numérico</t>
        </is>
      </c>
      <c r="D94" s="41" t="inlineStr">
        <is>
          <t>Cancelados / matrículas.</t>
        </is>
      </c>
    </row>
    <row r="95">
      <c r="A95" s="24" t="inlineStr">
        <is>
          <t>DimFicha</t>
        </is>
      </c>
      <c r="B95" s="24" t="inlineStr">
        <is>
          <t>TasaRetiro</t>
        </is>
      </c>
      <c r="C95" s="24" t="inlineStr">
        <is>
          <t>Numérico</t>
        </is>
      </c>
      <c r="D95" s="24" t="inlineStr">
        <is>
          <t>Retiros voluntarios / matrículas.</t>
        </is>
      </c>
    </row>
    <row r="96">
      <c r="A96" s="41" t="inlineStr">
        <is>
          <t>DimFicha</t>
        </is>
      </c>
      <c r="B96" s="41" t="inlineStr">
        <is>
          <t>TasaActivos</t>
        </is>
      </c>
      <c r="C96" s="41" t="inlineStr">
        <is>
          <t>Numérico</t>
        </is>
      </c>
      <c r="D96" s="41" t="inlineStr">
        <is>
          <t>Activos / matrículas.</t>
        </is>
      </c>
    </row>
    <row r="97">
      <c r="A97" s="24" t="inlineStr">
        <is>
          <t>DimFicha</t>
        </is>
      </c>
      <c r="B97" s="24" t="inlineStr">
        <is>
          <t>TasaContactoIncompleto</t>
        </is>
      </c>
      <c r="C97" s="24" t="inlineStr">
        <is>
          <t>Numérico</t>
        </is>
      </c>
      <c r="D97" s="24" t="inlineStr">
        <is>
          <t>Matrículas con contacto incompleto / matrículas.</t>
        </is>
      </c>
    </row>
    <row r="98">
      <c r="A98" s="41" t="inlineStr">
        <is>
          <t>DimFicha</t>
        </is>
      </c>
      <c r="B98" s="41" t="inlineStr">
        <is>
          <t>IC95Inferior</t>
        </is>
      </c>
      <c r="C98" s="41" t="inlineStr">
        <is>
          <t>Numérico</t>
        </is>
      </c>
      <c r="D98" s="41" t="inlineStr">
        <is>
          <t>Límite inferior del IC 95% de la tasa de pérdida.</t>
        </is>
      </c>
    </row>
    <row r="99">
      <c r="A99" s="24" t="inlineStr">
        <is>
          <t>DimFicha</t>
        </is>
      </c>
      <c r="B99" s="24" t="inlineStr">
        <is>
          <t>IC95Superior</t>
        </is>
      </c>
      <c r="C99" s="24" t="inlineStr">
        <is>
          <t>Numérico</t>
        </is>
      </c>
      <c r="D99" s="24" t="inlineStr">
        <is>
          <t>Límite superior del IC 95% de la tasa de pérdida.</t>
        </is>
      </c>
    </row>
    <row r="100">
      <c r="A100" s="41" t="inlineStr">
        <is>
          <t>DimFicha</t>
        </is>
      </c>
      <c r="B100" s="41" t="inlineStr">
        <is>
          <t>IndiceRiesgo</t>
        </is>
      </c>
      <c r="C100" s="41" t="inlineStr">
        <is>
          <t>Numérico</t>
        </is>
      </c>
      <c r="D100" s="41" t="inlineStr">
        <is>
          <t>Percentil de la tasa ajustada por empirical Bayes. Es un ranking, no una probabilidad.</t>
        </is>
      </c>
    </row>
    <row r="101">
      <c r="A101" s="24" t="inlineStr">
        <is>
          <t>DimFicha</t>
        </is>
      </c>
      <c r="B101" s="24" t="inlineStr">
        <is>
          <t>PercentilRiesgo</t>
        </is>
      </c>
      <c r="C101" s="24" t="inlineStr">
        <is>
          <t>Numérico</t>
        </is>
      </c>
      <c r="D101" s="24" t="inlineStr">
        <is>
          <t>Percentil del índice de riesgo entre las 56 fichas.</t>
        </is>
      </c>
    </row>
    <row r="102">
      <c r="A102" s="41" t="inlineStr">
        <is>
          <t>DimFicha</t>
        </is>
      </c>
      <c r="B102" s="41" t="inlineStr">
        <is>
          <t>NivelRiesgo</t>
        </is>
      </c>
      <c r="C102" s="41" t="inlineStr">
        <is>
          <t>Texto</t>
        </is>
      </c>
      <c r="D102" s="41" t="inlineStr">
        <is>
          <t>Banda de riesgo: Bajo, Medio, Alto o Crítico.</t>
        </is>
      </c>
    </row>
    <row r="103">
      <c r="A103" s="24" t="inlineStr">
        <is>
          <t>DimFicha</t>
        </is>
      </c>
      <c r="B103" s="24" t="inlineStr">
        <is>
          <t>RankingRiesgo</t>
        </is>
      </c>
      <c r="C103" s="24" t="inlineStr">
        <is>
          <t>Numérico</t>
        </is>
      </c>
      <c r="D103" s="24" t="inlineStr">
        <is>
          <t>Posición de la ficha en el ranking de riesgo (1 = mayor riesgo).</t>
        </is>
      </c>
    </row>
    <row r="104">
      <c r="A104" s="41" t="inlineStr">
        <is>
          <t>DimFicha</t>
        </is>
      </c>
      <c r="B104" s="41" t="inlineStr">
        <is>
          <t>Confiabilidad</t>
        </is>
      </c>
      <c r="C104" s="41" t="inlineStr">
        <is>
          <t>Texto</t>
        </is>
      </c>
      <c r="D104" s="41" t="inlineStr">
        <is>
          <t>Indicador de estabilidad del ranking según tamaño de ficha.</t>
        </is>
      </c>
    </row>
    <row r="105">
      <c r="A105" s="24" t="inlineStr">
        <is>
          <t>DimFicha</t>
        </is>
      </c>
      <c r="B105" s="24" t="inlineStr">
        <is>
          <t>AlertaPrincipal</t>
        </is>
      </c>
      <c r="C105" s="24" t="inlineStr">
        <is>
          <t>Texto</t>
        </is>
      </c>
      <c r="D105" s="24" t="inlineStr">
        <is>
          <t>Principal señal de alerta de la ficha.</t>
        </is>
      </c>
    </row>
    <row r="106">
      <c r="A106" s="41" t="inlineStr">
        <is>
          <t>DimFicha</t>
        </is>
      </c>
      <c r="B106" s="41" t="inlineStr">
        <is>
          <t>AlertaSecundaria</t>
        </is>
      </c>
      <c r="C106" s="41" t="inlineStr">
        <is>
          <t>Texto</t>
        </is>
      </c>
      <c r="D106" s="41" t="inlineStr">
        <is>
          <t>Señal de alerta secundaria.</t>
        </is>
      </c>
    </row>
    <row r="107">
      <c r="A107" s="24" t="inlineStr">
        <is>
          <t>DimFicha</t>
        </is>
      </c>
      <c r="B107" s="24" t="inlineStr">
        <is>
          <t>ProbDesercionFicha</t>
        </is>
      </c>
      <c r="C107" s="24" t="inlineStr">
        <is>
          <t>Numérico</t>
        </is>
      </c>
      <c r="D107" s="24" t="inlineStr">
        <is>
          <t>Media posterior beta-binomial de pérdida de la ficha. No es un pronóstico individual.</t>
        </is>
      </c>
    </row>
    <row r="108">
      <c r="A108" s="41" t="inlineStr">
        <is>
          <t>DimFicha</t>
        </is>
      </c>
      <c r="B108" s="41" t="inlineStr">
        <is>
          <t>Prioridad</t>
        </is>
      </c>
      <c r="C108" s="41" t="inlineStr">
        <is>
          <t>Texto</t>
        </is>
      </c>
      <c r="D108" s="41" t="inlineStr">
        <is>
          <t>Prioridad operativa de la ficha (P1 a P4).</t>
        </is>
      </c>
    </row>
    <row r="109">
      <c r="A109" s="24" t="inlineStr">
        <is>
          <t>DimFicha</t>
        </is>
      </c>
      <c r="B109" s="24" t="inlineStr">
        <is>
          <t>ProbDesercionICInf</t>
        </is>
      </c>
      <c r="C109" s="24" t="inlineStr">
        <is>
          <t>Numérico</t>
        </is>
      </c>
      <c r="D109" s="24" t="inlineStr">
        <is>
          <t>Límite inferior del IC creíble 95% de la probabilidad de pérdida.</t>
        </is>
      </c>
    </row>
    <row r="110">
      <c r="A110" s="41" t="inlineStr">
        <is>
          <t>DimFicha</t>
        </is>
      </c>
      <c r="B110" s="41" t="inlineStr">
        <is>
          <t>ProbDesercionICSup</t>
        </is>
      </c>
      <c r="C110" s="41" t="inlineStr">
        <is>
          <t>Numérico</t>
        </is>
      </c>
      <c r="D110" s="41" t="inlineStr">
        <is>
          <t>Límite superior del IC creíble 95% de la probabilidad de pérdida.</t>
        </is>
      </c>
    </row>
    <row r="111">
      <c r="A111" s="24" t="inlineStr">
        <is>
          <t>DimFicha</t>
        </is>
      </c>
      <c r="B111" s="24" t="inlineStr">
        <is>
          <t>ProbSupera30</t>
        </is>
      </c>
      <c r="C111" s="24" t="inlineStr">
        <is>
          <t>Numérico</t>
        </is>
      </c>
      <c r="D111" s="24" t="inlineStr">
        <is>
          <t>Probabilidad posterior de que la tasa de la ficha supere 30%.</t>
        </is>
      </c>
    </row>
    <row r="112">
      <c r="A112" s="41" t="inlineStr">
        <is>
          <t>DimFicha</t>
        </is>
      </c>
      <c r="B112" s="41" t="inlineStr">
        <is>
          <t>ProbSupera40</t>
        </is>
      </c>
      <c r="C112" s="41" t="inlineStr">
        <is>
          <t>Numérico</t>
        </is>
      </c>
      <c r="D112" s="41" t="inlineStr">
        <is>
          <t>Probabilidad posterior de que la tasa de la ficha supere 40%.</t>
        </is>
      </c>
    </row>
    <row r="113">
      <c r="A113" s="24" t="inlineStr">
        <is>
          <t>DimGeneracion</t>
        </is>
      </c>
      <c r="B113" s="24" t="inlineStr">
        <is>
          <t>GeneracionID</t>
        </is>
      </c>
      <c r="C113" s="24" t="inlineStr">
        <is>
          <t>Texto</t>
        </is>
      </c>
      <c r="D113" s="24" t="inlineStr">
        <is>
          <t>Generación proxy: prefijo de 3 dígitos de la ficha. No es año calendario.</t>
        </is>
      </c>
    </row>
    <row r="114">
      <c r="A114" s="41" t="inlineStr">
        <is>
          <t>DimGeneracion</t>
        </is>
      </c>
      <c r="B114" s="41" t="inlineStr">
        <is>
          <t>GeneracionNombre</t>
        </is>
      </c>
      <c r="C114" s="41" t="inlineStr">
        <is>
          <t>Texto</t>
        </is>
      </c>
      <c r="D114" s="41" t="inlineStr">
        <is>
          <t>Etiqueta de la generación proxy.</t>
        </is>
      </c>
    </row>
    <row r="115">
      <c r="A115" s="24" t="inlineStr">
        <is>
          <t>DimGeneracion</t>
        </is>
      </c>
      <c r="B115" s="24" t="inlineStr">
        <is>
          <t>GeneracionOrden</t>
        </is>
      </c>
      <c r="C115" s="24" t="inlineStr">
        <is>
          <t>Numérico</t>
        </is>
      </c>
      <c r="D115" s="24" t="inlineStr">
        <is>
          <t>Orden de la generación por prefijo de ficha. No es año.</t>
        </is>
      </c>
    </row>
    <row r="116">
      <c r="A116" s="41" t="inlineStr">
        <is>
          <t>DimGeneracion</t>
        </is>
      </c>
      <c r="B116" s="41" t="inlineStr">
        <is>
          <t>RangoFicha</t>
        </is>
      </c>
      <c r="C116" s="41" t="inlineStr">
        <is>
          <t>Texto</t>
        </is>
      </c>
      <c r="D116" s="41" t="inlineStr">
        <is>
          <t>Rango de números de ficha que compone la generación.</t>
        </is>
      </c>
    </row>
    <row r="117">
      <c r="A117" s="24" t="inlineStr">
        <is>
          <t>DimGeneracion</t>
        </is>
      </c>
      <c r="B117" s="24" t="inlineStr">
        <is>
          <t>Fichas</t>
        </is>
      </c>
      <c r="C117" s="24" t="inlineStr">
        <is>
          <t>Numérico</t>
        </is>
      </c>
      <c r="D117" s="24" t="inlineStr">
        <is>
          <t>Número de fichas de la generación.</t>
        </is>
      </c>
    </row>
    <row r="118">
      <c r="A118" s="41" t="inlineStr">
        <is>
          <t>DimGeneracion</t>
        </is>
      </c>
      <c r="B118" s="41" t="inlineStr">
        <is>
          <t>Matriculas</t>
        </is>
      </c>
      <c r="C118" s="41" t="inlineStr">
        <is>
          <t>Numérico</t>
        </is>
      </c>
      <c r="D118" s="41" t="inlineStr">
        <is>
          <t>Número de matrículas.</t>
        </is>
      </c>
    </row>
    <row r="119">
      <c r="A119" s="24" t="inlineStr">
        <is>
          <t>DimGeneracion</t>
        </is>
      </c>
      <c r="B119" s="24" t="inlineStr">
        <is>
          <t>Perdidas</t>
        </is>
      </c>
      <c r="C119" s="24" t="inlineStr">
        <is>
          <t>Numérico</t>
        </is>
      </c>
      <c r="D119" s="24" t="inlineStr">
        <is>
          <t>Número de pérdidas.</t>
        </is>
      </c>
    </row>
    <row r="120">
      <c r="A120" s="41" t="inlineStr">
        <is>
          <t>DimGeneracion</t>
        </is>
      </c>
      <c r="B120" s="41" t="inlineStr">
        <is>
          <t>TasaPerdida</t>
        </is>
      </c>
      <c r="C120" s="41" t="inlineStr">
        <is>
          <t>Numérico</t>
        </is>
      </c>
      <c r="D120" s="41" t="inlineStr">
        <is>
          <t>Pérdidas / matrículas de la ficha.</t>
        </is>
      </c>
    </row>
    <row r="121">
      <c r="A121" s="24" t="inlineStr">
        <is>
          <t>DimGeneracion</t>
        </is>
      </c>
      <c r="B121" s="24" t="inlineStr">
        <is>
          <t>Nota</t>
        </is>
      </c>
      <c r="C121" s="24" t="inlineStr">
        <is>
          <t>Texto</t>
        </is>
      </c>
      <c r="D121" s="24" t="inlineStr">
        <is>
          <t>Nota metodológica.</t>
        </is>
      </c>
    </row>
    <row r="122">
      <c r="A122" s="41" t="inlineStr">
        <is>
          <t>DimJornada</t>
        </is>
      </c>
      <c r="B122" s="41" t="inlineStr">
        <is>
          <t>JornadaID</t>
        </is>
      </c>
      <c r="C122" s="41" t="inlineStr">
        <is>
          <t>Texto</t>
        </is>
      </c>
      <c r="D122" s="41" t="inlineStr">
        <is>
          <t>Campo del modelo analítico.</t>
        </is>
      </c>
    </row>
    <row r="123">
      <c r="A123" s="24" t="inlineStr">
        <is>
          <t>DimJornada</t>
        </is>
      </c>
      <c r="B123" s="24" t="inlineStr">
        <is>
          <t>Jornada</t>
        </is>
      </c>
      <c r="C123" s="24" t="inlineStr">
        <is>
          <t>Texto</t>
        </is>
      </c>
      <c r="D123" s="24" t="inlineStr">
        <is>
          <t>Jornada de la ficha (DIURNA o NOCTURNA).</t>
        </is>
      </c>
    </row>
    <row r="124">
      <c r="A124" s="41" t="inlineStr">
        <is>
          <t>DimJornada</t>
        </is>
      </c>
      <c r="B124" s="41" t="inlineStr">
        <is>
          <t>Descripcion</t>
        </is>
      </c>
      <c r="C124" s="41" t="inlineStr">
        <is>
          <t>Texto</t>
        </is>
      </c>
      <c r="D124" s="41" t="inlineStr">
        <is>
          <t>Campo del modelo analítico.</t>
        </is>
      </c>
    </row>
    <row r="125">
      <c r="A125" s="24" t="inlineStr">
        <is>
          <t>DimMunicipio</t>
        </is>
      </c>
      <c r="B125" s="24" t="inlineStr">
        <is>
          <t>MunicipioID</t>
        </is>
      </c>
      <c r="C125" s="24" t="inlineStr">
        <is>
          <t>Texto</t>
        </is>
      </c>
      <c r="D125" s="24" t="inlineStr">
        <is>
          <t>Llave del municipio. La fuente no lo trae: 'No informado'.</t>
        </is>
      </c>
    </row>
    <row r="126">
      <c r="A126" s="41" t="inlineStr">
        <is>
          <t>DimMunicipio</t>
        </is>
      </c>
      <c r="B126" s="41" t="inlineStr">
        <is>
          <t>Municipio</t>
        </is>
      </c>
      <c r="C126" s="41" t="inlineStr">
        <is>
          <t>Texto</t>
        </is>
      </c>
      <c r="D126" s="41" t="inlineStr">
        <is>
          <t>Campo del modelo analítico.</t>
        </is>
      </c>
    </row>
    <row r="127">
      <c r="A127" s="24" t="inlineStr">
        <is>
          <t>DimMunicipio</t>
        </is>
      </c>
      <c r="B127" s="24" t="inlineStr">
        <is>
          <t>DepartamentoID</t>
        </is>
      </c>
      <c r="C127" s="24" t="inlineStr">
        <is>
          <t>Texto</t>
        </is>
      </c>
      <c r="D127" s="24" t="inlineStr">
        <is>
          <t>Llave del departamento. La fuente no lo trae: 'No informado'.</t>
        </is>
      </c>
    </row>
    <row r="128">
      <c r="A128" s="41" t="inlineStr">
        <is>
          <t>DimMunicipio</t>
        </is>
      </c>
      <c r="B128" s="41" t="inlineStr">
        <is>
          <t>CodigoDANE</t>
        </is>
      </c>
      <c r="C128" s="41" t="inlineStr">
        <is>
          <t>Texto</t>
        </is>
      </c>
      <c r="D128" s="41" t="inlineStr">
        <is>
          <t>Campo del modelo analítico.</t>
        </is>
      </c>
    </row>
    <row r="129">
      <c r="A129" s="24" t="inlineStr">
        <is>
          <t>DimMunicipio</t>
        </is>
      </c>
      <c r="B129" s="24" t="inlineStr">
        <is>
          <t>Nota</t>
        </is>
      </c>
      <c r="C129" s="24" t="inlineStr">
        <is>
          <t>Texto</t>
        </is>
      </c>
      <c r="D129" s="24" t="inlineStr">
        <is>
          <t>Nota metodológica.</t>
        </is>
      </c>
    </row>
    <row r="130">
      <c r="A130" s="41" t="inlineStr">
        <is>
          <t>DimNivelFormacion</t>
        </is>
      </c>
      <c r="B130" s="41" t="inlineStr">
        <is>
          <t>NivelID</t>
        </is>
      </c>
      <c r="C130" s="41" t="inlineStr">
        <is>
          <t>Texto</t>
        </is>
      </c>
      <c r="D130" s="41" t="inlineStr">
        <is>
          <t>Campo del modelo analítico.</t>
        </is>
      </c>
    </row>
    <row r="131">
      <c r="A131" s="24" t="inlineStr">
        <is>
          <t>DimNivelFormacion</t>
        </is>
      </c>
      <c r="B131" s="24" t="inlineStr">
        <is>
          <t>NivelFormacion</t>
        </is>
      </c>
      <c r="C131" s="24" t="inlineStr">
        <is>
          <t>Texto</t>
        </is>
      </c>
      <c r="D131" s="24" t="inlineStr">
        <is>
          <t>Nivel inferido del nombre del programa (Técnico o Tecnólogo).</t>
        </is>
      </c>
    </row>
    <row r="132">
      <c r="A132" s="41" t="inlineStr">
        <is>
          <t>DimNivelFormacion</t>
        </is>
      </c>
      <c r="B132" s="41" t="inlineStr">
        <is>
          <t>Orden</t>
        </is>
      </c>
      <c r="C132" s="41" t="inlineStr">
        <is>
          <t>Numérico</t>
        </is>
      </c>
      <c r="D132" s="41" t="inlineStr">
        <is>
          <t>Campo del modelo analítico.</t>
        </is>
      </c>
    </row>
    <row r="133">
      <c r="A133" s="24" t="inlineStr">
        <is>
          <t>DimNivelFormacion</t>
        </is>
      </c>
      <c r="B133" s="24" t="inlineStr">
        <is>
          <t>Definicion</t>
        </is>
      </c>
      <c r="C133" s="24" t="inlineStr">
        <is>
          <t>Texto</t>
        </is>
      </c>
      <c r="D133" s="24" t="inlineStr">
        <is>
          <t>Definición funcional del estado.</t>
        </is>
      </c>
    </row>
    <row r="134">
      <c r="A134" s="41" t="inlineStr">
        <is>
          <t>DimPrograma</t>
        </is>
      </c>
      <c r="B134" s="41" t="inlineStr">
        <is>
          <t>ProgramaID</t>
        </is>
      </c>
      <c r="C134" s="41" t="inlineStr">
        <is>
          <t>Texto</t>
        </is>
      </c>
      <c r="D134" s="41" t="inlineStr">
        <is>
          <t>Llave del programa normalizado.</t>
        </is>
      </c>
    </row>
    <row r="135">
      <c r="A135" s="24" t="inlineStr">
        <is>
          <t>DimPrograma</t>
        </is>
      </c>
      <c r="B135" s="24" t="inlineStr">
        <is>
          <t>ProgramaNombre</t>
        </is>
      </c>
      <c r="C135" s="24" t="inlineStr">
        <is>
          <t>Texto</t>
        </is>
      </c>
      <c r="D135" s="24" t="inlineStr">
        <is>
          <t>Nombre canónico del programa.</t>
        </is>
      </c>
    </row>
    <row r="136">
      <c r="A136" s="41" t="inlineStr">
        <is>
          <t>DimPrograma</t>
        </is>
      </c>
      <c r="B136" s="41" t="inlineStr">
        <is>
          <t>ProgramaCorto</t>
        </is>
      </c>
      <c r="C136" s="41" t="inlineStr">
        <is>
          <t>Texto</t>
        </is>
      </c>
      <c r="D136" s="41" t="inlineStr">
        <is>
          <t>Nombre abreviado del programa para visuales.</t>
        </is>
      </c>
    </row>
    <row r="137">
      <c r="A137" s="24" t="inlineStr">
        <is>
          <t>DimPrograma</t>
        </is>
      </c>
      <c r="B137" s="24" t="inlineStr">
        <is>
          <t>LineaTecnologica</t>
        </is>
      </c>
      <c r="C137" s="24" t="inlineStr">
        <is>
          <t>Texto</t>
        </is>
      </c>
      <c r="D137" s="24" t="inlineStr">
        <is>
          <t>Línea tecnológica del programa.</t>
        </is>
      </c>
    </row>
    <row r="138">
      <c r="A138" s="41" t="inlineStr">
        <is>
          <t>DimPrograma</t>
        </is>
      </c>
      <c r="B138" s="41" t="inlineStr">
        <is>
          <t>NivelFormacion</t>
        </is>
      </c>
      <c r="C138" s="41" t="inlineStr">
        <is>
          <t>Texto</t>
        </is>
      </c>
      <c r="D138" s="41" t="inlineStr">
        <is>
          <t>Nivel inferido del nombre del programa (Técnico o Tecnólogo).</t>
        </is>
      </c>
    </row>
    <row r="139">
      <c r="A139" s="24" t="inlineStr">
        <is>
          <t>DimPrograma</t>
        </is>
      </c>
      <c r="B139" s="24" t="inlineStr">
        <is>
          <t>NivelFuente</t>
        </is>
      </c>
      <c r="C139" s="24" t="inlineStr">
        <is>
          <t>Texto</t>
        </is>
      </c>
      <c r="D139" s="24" t="inlineStr">
        <is>
          <t>Fuente del nivel: inferido del nombre; validar contra SOFIA Plus.</t>
        </is>
      </c>
    </row>
    <row r="140">
      <c r="A140" s="41" t="inlineStr">
        <is>
          <t>DimPrograma</t>
        </is>
      </c>
      <c r="B140" s="41" t="inlineStr">
        <is>
          <t>TotalFichas</t>
        </is>
      </c>
      <c r="C140" s="41" t="inlineStr">
        <is>
          <t>Numérico</t>
        </is>
      </c>
      <c r="D140" s="41" t="inlineStr">
        <is>
          <t>Número de fichas del programa.</t>
        </is>
      </c>
    </row>
    <row r="141">
      <c r="A141" s="24" t="inlineStr">
        <is>
          <t>DimPrograma</t>
        </is>
      </c>
      <c r="B141" s="24" t="inlineStr">
        <is>
          <t>TotalMatriculas</t>
        </is>
      </c>
      <c r="C141" s="24" t="inlineStr">
        <is>
          <t>Numérico</t>
        </is>
      </c>
      <c r="D141" s="24" t="inlineStr">
        <is>
          <t>Número de matrículas asociadas.</t>
        </is>
      </c>
    </row>
    <row r="142">
      <c r="A142" s="41" t="inlineStr">
        <is>
          <t>DimPrograma</t>
        </is>
      </c>
      <c r="B142" s="41" t="inlineStr">
        <is>
          <t>Activo</t>
        </is>
      </c>
      <c r="C142" s="41" t="inlineStr">
        <is>
          <t>Texto</t>
        </is>
      </c>
      <c r="D142" s="41" t="inlineStr">
        <is>
          <t>Indica si el programa tiene matrícula en el corte.</t>
        </is>
      </c>
    </row>
    <row r="143">
      <c r="A143" s="24" t="inlineStr">
        <is>
          <t>DimPrograma</t>
        </is>
      </c>
      <c r="B143" s="24" t="inlineStr">
        <is>
          <t>NotaNivel</t>
        </is>
      </c>
      <c r="C143" s="24" t="inlineStr">
        <is>
          <t>Texto</t>
        </is>
      </c>
      <c r="D143" s="24" t="inlineStr">
        <is>
          <t>Advertencia sobre la inferencia del nivel.</t>
        </is>
      </c>
    </row>
    <row r="144">
      <c r="A144" s="41" t="inlineStr">
        <is>
          <t>DimRiesgo</t>
        </is>
      </c>
      <c r="B144" s="41" t="inlineStr">
        <is>
          <t>NivelRiesgo</t>
        </is>
      </c>
      <c r="C144" s="41" t="inlineStr">
        <is>
          <t>Texto</t>
        </is>
      </c>
      <c r="D144" s="41" t="inlineStr">
        <is>
          <t>Banda de riesgo: Bajo, Medio, Alto o Crítico.</t>
        </is>
      </c>
    </row>
    <row r="145">
      <c r="A145" s="24" t="inlineStr">
        <is>
          <t>DimRiesgo</t>
        </is>
      </c>
      <c r="B145" s="24" t="inlineStr">
        <is>
          <t>Orden</t>
        </is>
      </c>
      <c r="C145" s="24" t="inlineStr">
        <is>
          <t>Numérico</t>
        </is>
      </c>
      <c r="D145" s="24" t="inlineStr">
        <is>
          <t>Campo del modelo analítico.</t>
        </is>
      </c>
    </row>
    <row r="146">
      <c r="A146" s="41" t="inlineStr">
        <is>
          <t>DimRiesgo</t>
        </is>
      </c>
      <c r="B146" s="41" t="inlineStr">
        <is>
          <t>PercentilMin</t>
        </is>
      </c>
      <c r="C146" s="41" t="inlineStr">
        <is>
          <t>Numérico</t>
        </is>
      </c>
      <c r="D146" s="41" t="inlineStr">
        <is>
          <t>Campo del modelo analítico.</t>
        </is>
      </c>
    </row>
    <row r="147">
      <c r="A147" s="24" t="inlineStr">
        <is>
          <t>DimRiesgo</t>
        </is>
      </c>
      <c r="B147" s="24" t="inlineStr">
        <is>
          <t>PercentilMax</t>
        </is>
      </c>
      <c r="C147" s="24" t="inlineStr">
        <is>
          <t>Numérico</t>
        </is>
      </c>
      <c r="D147" s="24" t="inlineStr">
        <is>
          <t>Campo del modelo analítico.</t>
        </is>
      </c>
    </row>
    <row r="148">
      <c r="A148" s="41" t="inlineStr">
        <is>
          <t>DimRiesgo</t>
        </is>
      </c>
      <c r="B148" s="41" t="inlineStr">
        <is>
          <t>ColorHex</t>
        </is>
      </c>
      <c r="C148" s="41" t="inlineStr">
        <is>
          <t>Texto</t>
        </is>
      </c>
      <c r="D148" s="41" t="inlineStr">
        <is>
          <t>Campo del modelo analítico.</t>
        </is>
      </c>
    </row>
    <row r="149">
      <c r="A149" s="24" t="inlineStr">
        <is>
          <t>DimRiesgo</t>
        </is>
      </c>
      <c r="B149" s="24" t="inlineStr">
        <is>
          <t>Criterio</t>
        </is>
      </c>
      <c r="C149" s="24" t="inlineStr">
        <is>
          <t>Texto</t>
        </is>
      </c>
      <c r="D149" s="24" t="inlineStr">
        <is>
          <t>Campo del modelo analítico.</t>
        </is>
      </c>
    </row>
    <row r="150">
      <c r="A150" s="41" t="inlineStr">
        <is>
          <t>DimRiesgo</t>
        </is>
      </c>
      <c r="B150" s="41" t="inlineStr">
        <is>
          <t>Accion</t>
        </is>
      </c>
      <c r="C150" s="41" t="inlineStr">
        <is>
          <t>Texto</t>
        </is>
      </c>
      <c r="D150" s="41" t="inlineStr">
        <is>
          <t>Campo del modelo analítico.</t>
        </is>
      </c>
    </row>
    <row r="151">
      <c r="A151" s="24" t="inlineStr">
        <is>
          <t>DimTiempo</t>
        </is>
      </c>
      <c r="B151" s="24" t="inlineStr">
        <is>
          <t>FechaID</t>
        </is>
      </c>
      <c r="C151" s="24" t="inlineStr">
        <is>
          <t>Numérico</t>
        </is>
      </c>
      <c r="D151" s="24" t="inlineStr">
        <is>
          <t>Llave de fecha en formato AAAAMMDD.</t>
        </is>
      </c>
    </row>
    <row r="152">
      <c r="A152" s="41" t="inlineStr">
        <is>
          <t>DimTiempo</t>
        </is>
      </c>
      <c r="B152" s="41" t="inlineStr">
        <is>
          <t>Fecha</t>
        </is>
      </c>
      <c r="C152" s="41" t="inlineStr">
        <is>
          <t>Fecha</t>
        </is>
      </c>
      <c r="D152" s="41" t="inlineStr">
        <is>
          <t>Fecha calendario.</t>
        </is>
      </c>
    </row>
    <row r="153">
      <c r="A153" s="24" t="inlineStr">
        <is>
          <t>DimTiempo</t>
        </is>
      </c>
      <c r="B153" s="24" t="inlineStr">
        <is>
          <t>Anio</t>
        </is>
      </c>
      <c r="C153" s="24" t="inlineStr">
        <is>
          <t>Numérico</t>
        </is>
      </c>
      <c r="D153" s="24" t="inlineStr">
        <is>
          <t>Año.</t>
        </is>
      </c>
    </row>
    <row r="154">
      <c r="A154" s="41" t="inlineStr">
        <is>
          <t>DimTiempo</t>
        </is>
      </c>
      <c r="B154" s="41" t="inlineStr">
        <is>
          <t>Trimestre</t>
        </is>
      </c>
      <c r="C154" s="41" t="inlineStr">
        <is>
          <t>Texto</t>
        </is>
      </c>
      <c r="D154" s="41" t="inlineStr">
        <is>
          <t>Trimestre (T1–T4).</t>
        </is>
      </c>
    </row>
    <row r="155">
      <c r="A155" s="24" t="inlineStr">
        <is>
          <t>DimTiempo</t>
        </is>
      </c>
      <c r="B155" s="24" t="inlineStr">
        <is>
          <t>TrimestreNum</t>
        </is>
      </c>
      <c r="C155" s="24" t="inlineStr">
        <is>
          <t>Numérico</t>
        </is>
      </c>
      <c r="D155" s="24" t="inlineStr">
        <is>
          <t>Número de trimestre.</t>
        </is>
      </c>
    </row>
    <row r="156">
      <c r="A156" s="41" t="inlineStr">
        <is>
          <t>DimTiempo</t>
        </is>
      </c>
      <c r="B156" s="41" t="inlineStr">
        <is>
          <t>Mes</t>
        </is>
      </c>
      <c r="C156" s="41" t="inlineStr">
        <is>
          <t>Numérico</t>
        </is>
      </c>
      <c r="D156" s="41" t="inlineStr">
        <is>
          <t>Número de mes.</t>
        </is>
      </c>
    </row>
    <row r="157">
      <c r="A157" s="24" t="inlineStr">
        <is>
          <t>DimTiempo</t>
        </is>
      </c>
      <c r="B157" s="24" t="inlineStr">
        <is>
          <t>NombreMes</t>
        </is>
      </c>
      <c r="C157" s="24" t="inlineStr">
        <is>
          <t>Texto</t>
        </is>
      </c>
      <c r="D157" s="24" t="inlineStr">
        <is>
          <t>Nombre del mes.</t>
        </is>
      </c>
    </row>
    <row r="158">
      <c r="A158" s="41" t="inlineStr">
        <is>
          <t>DimTiempo</t>
        </is>
      </c>
      <c r="B158" s="41" t="inlineStr">
        <is>
          <t>MesCorto</t>
        </is>
      </c>
      <c r="C158" s="41" t="inlineStr">
        <is>
          <t>Texto</t>
        </is>
      </c>
      <c r="D158" s="41" t="inlineStr">
        <is>
          <t>Nombre corto del mes.</t>
        </is>
      </c>
    </row>
    <row r="159">
      <c r="A159" s="24" t="inlineStr">
        <is>
          <t>DimTiempo</t>
        </is>
      </c>
      <c r="B159" s="24" t="inlineStr">
        <is>
          <t>AnioMes</t>
        </is>
      </c>
      <c r="C159" s="24" t="inlineStr">
        <is>
          <t>Texto</t>
        </is>
      </c>
      <c r="D159" s="24" t="inlineStr">
        <is>
          <t>Año y mes en formato AAAAMM.</t>
        </is>
      </c>
    </row>
    <row r="160">
      <c r="A160" s="41" t="inlineStr">
        <is>
          <t>DimTiempo</t>
        </is>
      </c>
      <c r="B160" s="41" t="inlineStr">
        <is>
          <t>SemanaISO</t>
        </is>
      </c>
      <c r="C160" s="41" t="inlineStr">
        <is>
          <t>Numérico</t>
        </is>
      </c>
      <c r="D160" s="41" t="inlineStr">
        <is>
          <t>Semana ISO.</t>
        </is>
      </c>
    </row>
    <row r="161">
      <c r="A161" s="24" t="inlineStr">
        <is>
          <t>DimTiempo</t>
        </is>
      </c>
      <c r="B161" s="24" t="inlineStr">
        <is>
          <t>Dia</t>
        </is>
      </c>
      <c r="C161" s="24" t="inlineStr">
        <is>
          <t>Numérico</t>
        </is>
      </c>
      <c r="D161" s="24" t="inlineStr">
        <is>
          <t>Día del mes.</t>
        </is>
      </c>
    </row>
    <row r="162">
      <c r="A162" s="41" t="inlineStr">
        <is>
          <t>DimTiempo</t>
        </is>
      </c>
      <c r="B162" s="41" t="inlineStr">
        <is>
          <t>DiaSemana</t>
        </is>
      </c>
      <c r="C162" s="41" t="inlineStr">
        <is>
          <t>Numérico</t>
        </is>
      </c>
      <c r="D162" s="41" t="inlineStr">
        <is>
          <t>Día de la semana (1 = lunes).</t>
        </is>
      </c>
    </row>
    <row r="163">
      <c r="A163" s="24" t="inlineStr">
        <is>
          <t>DimTiempo</t>
        </is>
      </c>
      <c r="B163" s="24" t="inlineStr">
        <is>
          <t>NombreDia</t>
        </is>
      </c>
      <c r="C163" s="24" t="inlineStr">
        <is>
          <t>Texto</t>
        </is>
      </c>
      <c r="D163" s="24" t="inlineStr">
        <is>
          <t>Nombre del día.</t>
        </is>
      </c>
    </row>
    <row r="164">
      <c r="A164" s="41" t="inlineStr">
        <is>
          <t>DimTiempo</t>
        </is>
      </c>
      <c r="B164" s="41" t="inlineStr">
        <is>
          <t>EsFinSemana</t>
        </is>
      </c>
      <c r="C164" s="41" t="inlineStr">
        <is>
          <t>Numérico</t>
        </is>
      </c>
      <c r="D164" s="41" t="inlineStr">
        <is>
          <t>1 si es fin de semana.</t>
        </is>
      </c>
    </row>
    <row r="165">
      <c r="A165" s="24" t="inlineStr">
        <is>
          <t>DimTiempo</t>
        </is>
      </c>
      <c r="B165" s="24" t="inlineStr">
        <is>
          <t>InicioMes</t>
        </is>
      </c>
      <c r="C165" s="24" t="inlineStr">
        <is>
          <t>Fecha</t>
        </is>
      </c>
      <c r="D165" s="24" t="inlineStr">
        <is>
          <t>Primer día del mes.</t>
        </is>
      </c>
    </row>
    <row r="166">
      <c r="A166" s="41" t="inlineStr">
        <is>
          <t>DimTiempo</t>
        </is>
      </c>
      <c r="B166" s="41" t="inlineStr">
        <is>
          <t>FinMes</t>
        </is>
      </c>
      <c r="C166" s="41" t="inlineStr">
        <is>
          <t>Fecha</t>
        </is>
      </c>
      <c r="D166" s="41" t="inlineStr">
        <is>
          <t>Último día del mes.</t>
        </is>
      </c>
    </row>
    <row r="167">
      <c r="A167" s="24" t="inlineStr">
        <is>
          <t>FactMatricula</t>
        </is>
      </c>
      <c r="B167" s="24" t="inlineStr">
        <is>
          <t>MatriculaID</t>
        </is>
      </c>
      <c r="C167" s="24" t="inlineStr">
        <is>
          <t>Texto</t>
        </is>
      </c>
      <c r="D167" s="24" t="inlineStr">
        <is>
          <t>Identificador único de la matrícula.</t>
        </is>
      </c>
    </row>
    <row r="168">
      <c r="A168" s="41" t="inlineStr">
        <is>
          <t>FactMatricula</t>
        </is>
      </c>
      <c r="B168" s="41" t="inlineStr">
        <is>
          <t>AprendizID</t>
        </is>
      </c>
      <c r="C168" s="41" t="inlineStr">
        <is>
          <t>Texto</t>
        </is>
      </c>
      <c r="D168" s="41" t="inlineStr">
        <is>
          <t>Identificador seudónimo del aprendiz (SHA-256 del documento, truncado). No permite recuperar el documento.</t>
        </is>
      </c>
    </row>
    <row r="169">
      <c r="A169" s="24" t="inlineStr">
        <is>
          <t>FactMatricula</t>
        </is>
      </c>
      <c r="B169" s="24" t="inlineStr">
        <is>
          <t>FichaID</t>
        </is>
      </c>
      <c r="C169" s="24" t="inlineStr">
        <is>
          <t>Numérico</t>
        </is>
      </c>
      <c r="D169" s="24" t="inlineStr">
        <is>
          <t>Número de ficha. Llave de la dimensión ficha.</t>
        </is>
      </c>
    </row>
    <row r="170">
      <c r="A170" s="41" t="inlineStr">
        <is>
          <t>FactMatricula</t>
        </is>
      </c>
      <c r="B170" s="41" t="inlineStr">
        <is>
          <t>ProgramaID</t>
        </is>
      </c>
      <c r="C170" s="41" t="inlineStr">
        <is>
          <t>Texto</t>
        </is>
      </c>
      <c r="D170" s="41" t="inlineStr">
        <is>
          <t>Llave del programa normalizado.</t>
        </is>
      </c>
    </row>
    <row r="171">
      <c r="A171" s="24" t="inlineStr">
        <is>
          <t>FactMatricula</t>
        </is>
      </c>
      <c r="B171" s="24" t="inlineStr">
        <is>
          <t>JornadaID</t>
        </is>
      </c>
      <c r="C171" s="24" t="inlineStr">
        <is>
          <t>Texto</t>
        </is>
      </c>
      <c r="D171" s="24" t="inlineStr">
        <is>
          <t>Campo del modelo analítico.</t>
        </is>
      </c>
    </row>
    <row r="172">
      <c r="A172" s="41" t="inlineStr">
        <is>
          <t>FactMatricula</t>
        </is>
      </c>
      <c r="B172" s="41" t="inlineStr">
        <is>
          <t>EstadoID</t>
        </is>
      </c>
      <c r="C172" s="41" t="inlineStr">
        <is>
          <t>Texto</t>
        </is>
      </c>
      <c r="D172" s="41" t="inlineStr">
        <is>
          <t>Llave del estado de matrícula.</t>
        </is>
      </c>
    </row>
    <row r="173">
      <c r="A173" s="24" t="inlineStr">
        <is>
          <t>FactMatricula</t>
        </is>
      </c>
      <c r="B173" s="24" t="inlineStr">
        <is>
          <t>CentroID</t>
        </is>
      </c>
      <c r="C173" s="24" t="inlineStr">
        <is>
          <t>Texto</t>
        </is>
      </c>
      <c r="D173" s="24" t="inlineStr">
        <is>
          <t>Llave del centro de formación.</t>
        </is>
      </c>
    </row>
    <row r="174">
      <c r="A174" s="41" t="inlineStr">
        <is>
          <t>FactMatricula</t>
        </is>
      </c>
      <c r="B174" s="41" t="inlineStr">
        <is>
          <t>NivelID</t>
        </is>
      </c>
      <c r="C174" s="41" t="inlineStr">
        <is>
          <t>Texto</t>
        </is>
      </c>
      <c r="D174" s="41" t="inlineStr">
        <is>
          <t>Campo del modelo analítico.</t>
        </is>
      </c>
    </row>
    <row r="175">
      <c r="A175" s="24" t="inlineStr">
        <is>
          <t>FactMatricula</t>
        </is>
      </c>
      <c r="B175" s="24" t="inlineStr">
        <is>
          <t>MunicipioID</t>
        </is>
      </c>
      <c r="C175" s="24" t="inlineStr">
        <is>
          <t>Texto</t>
        </is>
      </c>
      <c r="D175" s="24" t="inlineStr">
        <is>
          <t>Llave del municipio. La fuente no lo trae: 'No informado'.</t>
        </is>
      </c>
    </row>
    <row r="176">
      <c r="A176" s="41" t="inlineStr">
        <is>
          <t>FactMatricula</t>
        </is>
      </c>
      <c r="B176" s="41" t="inlineStr">
        <is>
          <t>DepartamentoID</t>
        </is>
      </c>
      <c r="C176" s="41" t="inlineStr">
        <is>
          <t>Texto</t>
        </is>
      </c>
      <c r="D176" s="41" t="inlineStr">
        <is>
          <t>Llave del departamento. La fuente no lo trae: 'No informado'.</t>
        </is>
      </c>
    </row>
    <row r="177">
      <c r="A177" s="24" t="inlineStr">
        <is>
          <t>FactMatricula</t>
        </is>
      </c>
      <c r="B177" s="24" t="inlineStr">
        <is>
          <t>GeneracionID</t>
        </is>
      </c>
      <c r="C177" s="24" t="inlineStr">
        <is>
          <t>Texto</t>
        </is>
      </c>
      <c r="D177" s="24" t="inlineStr">
        <is>
          <t>Generación proxy: prefijo de 3 dígitos de la ficha. No es año calendario.</t>
        </is>
      </c>
    </row>
    <row r="178">
      <c r="A178" s="41" t="inlineStr">
        <is>
          <t>FactMatricula</t>
        </is>
      </c>
      <c r="B178" s="41" t="inlineStr">
        <is>
          <t>FechaReporteID</t>
        </is>
      </c>
      <c r="C178" s="41" t="inlineStr">
        <is>
          <t>Numérico</t>
        </is>
      </c>
      <c r="D178" s="41" t="inlineStr">
        <is>
          <t>Campo del modelo analítico.</t>
        </is>
      </c>
    </row>
    <row r="179">
      <c r="A179" s="24" t="inlineStr">
        <is>
          <t>FactMatricula</t>
        </is>
      </c>
      <c r="B179" s="24" t="inlineStr">
        <is>
          <t>FechaReporte</t>
        </is>
      </c>
      <c r="C179" s="24" t="inlineStr">
        <is>
          <t>Fecha</t>
        </is>
      </c>
      <c r="D179" s="24" t="inlineStr">
        <is>
          <t>Fecha del corte: 2026-10-19.</t>
        </is>
      </c>
    </row>
    <row r="180">
      <c r="A180" s="41" t="inlineStr">
        <is>
          <t>FactMatricula</t>
        </is>
      </c>
      <c r="B180" s="41" t="inlineStr">
        <is>
          <t>EsVinculado</t>
        </is>
      </c>
      <c r="C180" s="41" t="inlineStr">
        <is>
          <t>Numérico</t>
        </is>
      </c>
      <c r="D180" s="41" t="inlineStr">
        <is>
          <t>1 si el estado cuenta como vinculado.</t>
        </is>
      </c>
    </row>
    <row r="181">
      <c r="A181" s="24" t="inlineStr">
        <is>
          <t>FactMatricula</t>
        </is>
      </c>
      <c r="B181" s="24" t="inlineStr">
        <is>
          <t>EsActivo</t>
        </is>
      </c>
      <c r="C181" s="24" t="inlineStr">
        <is>
          <t>Numérico</t>
        </is>
      </c>
      <c r="D181" s="24" t="inlineStr">
        <is>
          <t>1 si el estado cuenta como activo.</t>
        </is>
      </c>
    </row>
    <row r="182">
      <c r="A182" s="41" t="inlineStr">
        <is>
          <t>FactMatricula</t>
        </is>
      </c>
      <c r="B182" s="41" t="inlineStr">
        <is>
          <t>EsPerdida</t>
        </is>
      </c>
      <c r="C182" s="41" t="inlineStr">
        <is>
          <t>Numérico</t>
        </is>
      </c>
      <c r="D182" s="41" t="inlineStr">
        <is>
          <t>1 si la matrícula se canceló o retiró.</t>
        </is>
      </c>
    </row>
    <row r="183">
      <c r="A183" s="24" t="inlineStr">
        <is>
          <t>FactMatricula</t>
        </is>
      </c>
      <c r="B183" s="24" t="inlineStr">
        <is>
          <t>EsCancelado</t>
        </is>
      </c>
      <c r="C183" s="24" t="inlineStr">
        <is>
          <t>Numérico</t>
        </is>
      </c>
      <c r="D183" s="24" t="inlineStr">
        <is>
          <t>1 si el estado es cancelado.</t>
        </is>
      </c>
    </row>
    <row r="184">
      <c r="A184" s="41" t="inlineStr">
        <is>
          <t>FactMatricula</t>
        </is>
      </c>
      <c r="B184" s="41" t="inlineStr">
        <is>
          <t>EsRetirado</t>
        </is>
      </c>
      <c r="C184" s="41" t="inlineStr">
        <is>
          <t>Numérico</t>
        </is>
      </c>
      <c r="D184" s="41" t="inlineStr">
        <is>
          <t>1 si el estado es retiro voluntario.</t>
        </is>
      </c>
    </row>
    <row r="185">
      <c r="A185" s="24" t="inlineStr">
        <is>
          <t>FactMatricula</t>
        </is>
      </c>
      <c r="B185" s="24" t="inlineStr">
        <is>
          <t>EsTrasladado</t>
        </is>
      </c>
      <c r="C185" s="24" t="inlineStr">
        <is>
          <t>Numérico</t>
        </is>
      </c>
      <c r="D185" s="24" t="inlineStr">
        <is>
          <t>1 si el estado es trasladado.</t>
        </is>
      </c>
    </row>
    <row r="186">
      <c r="A186" s="41" t="inlineStr">
        <is>
          <t>FactMatricula</t>
        </is>
      </c>
      <c r="B186" s="41" t="inlineStr">
        <is>
          <t>EsSuspendido</t>
        </is>
      </c>
      <c r="C186" s="41" t="inlineStr">
        <is>
          <t>Numérico</t>
        </is>
      </c>
      <c r="D186" s="41" t="inlineStr">
        <is>
          <t>1 si el estado es suspendido (aplazado).</t>
        </is>
      </c>
    </row>
    <row r="187">
      <c r="A187" s="24" t="inlineStr">
        <is>
          <t>FactMatricula</t>
        </is>
      </c>
      <c r="B187" s="24" t="inlineStr">
        <is>
          <t>EsRiesgo</t>
        </is>
      </c>
      <c r="C187" s="24" t="inlineStr">
        <is>
          <t>Numérico</t>
        </is>
      </c>
      <c r="D187" s="24" t="inlineStr">
        <is>
          <t>1 si el estado es condicionado o aplazado.</t>
        </is>
      </c>
    </row>
    <row r="188">
      <c r="A188" s="41" t="inlineStr">
        <is>
          <t>FactMatricula</t>
        </is>
      </c>
      <c r="B188" s="41" t="inlineStr">
        <is>
          <t>EsCertificado</t>
        </is>
      </c>
      <c r="C188" s="41" t="inlineStr">
        <is>
          <t>Numérico</t>
        </is>
      </c>
      <c r="D188" s="41" t="inlineStr">
        <is>
          <t>1 si el estado es certificado. No hay registros en el corte.</t>
        </is>
      </c>
    </row>
    <row r="189">
      <c r="A189" s="24" t="inlineStr">
        <is>
          <t>FactMatricula</t>
        </is>
      </c>
      <c r="B189" s="24" t="inlineStr">
        <is>
          <t>ContactoCompleto</t>
        </is>
      </c>
      <c r="C189" s="24" t="inlineStr">
        <is>
          <t>Numérico</t>
        </is>
      </c>
      <c r="D189" s="24" t="inlineStr">
        <is>
          <t>1 si celular y correo son válidos. Bandera operativa, no factor de riesgo.</t>
        </is>
      </c>
    </row>
    <row r="190">
      <c r="A190" s="41" t="inlineStr">
        <is>
          <t>FactMatricula</t>
        </is>
      </c>
      <c r="B190" s="41" t="inlineStr">
        <is>
          <t>TieneCelular</t>
        </is>
      </c>
      <c r="C190" s="41" t="inlineStr">
        <is>
          <t>Numérico</t>
        </is>
      </c>
      <c r="D190" s="41" t="inlineStr">
        <is>
          <t>1 si hay celular registrado; 0 si no.</t>
        </is>
      </c>
    </row>
    <row r="191">
      <c r="A191" s="24" t="inlineStr">
        <is>
          <t>FactMatricula</t>
        </is>
      </c>
      <c r="B191" s="24" t="inlineStr">
        <is>
          <t>CelularValido</t>
        </is>
      </c>
      <c r="C191" s="24" t="inlineStr">
        <is>
          <t>Numérico</t>
        </is>
      </c>
      <c r="D191" s="24" t="inlineStr">
        <is>
          <t>1 si el celular tiene exactamente 10 dígitos.</t>
        </is>
      </c>
    </row>
    <row r="192">
      <c r="A192" s="41" t="inlineStr">
        <is>
          <t>FactMatricula</t>
        </is>
      </c>
      <c r="B192" s="41" t="inlineStr">
        <is>
          <t>EmailValido</t>
        </is>
      </c>
      <c r="C192" s="41" t="inlineStr">
        <is>
          <t>Numérico</t>
        </is>
      </c>
      <c r="D192" s="41" t="inlineStr">
        <is>
          <t>1 si el correo cumple estructura básica y dominio con punto.</t>
        </is>
      </c>
    </row>
    <row r="193">
      <c r="A193" s="24" t="inlineStr">
        <is>
          <t>FactMatricula</t>
        </is>
      </c>
      <c r="B193" s="24" t="inlineStr">
        <is>
          <t>NivelRiesgoFicha</t>
        </is>
      </c>
      <c r="C193" s="24" t="inlineStr">
        <is>
          <t>Texto</t>
        </is>
      </c>
      <c r="D193" s="24" t="inlineStr">
        <is>
          <t>Nivel de riesgo de la ficha, repetido en el hecho.</t>
        </is>
      </c>
    </row>
    <row r="194">
      <c r="A194" s="41" t="inlineStr">
        <is>
          <t>FactMatricula</t>
        </is>
      </c>
      <c r="B194" s="41" t="inlineStr">
        <is>
          <t>IndiceRiesgoFicha</t>
        </is>
      </c>
      <c r="C194" s="41" t="inlineStr">
        <is>
          <t>Numérico</t>
        </is>
      </c>
      <c r="D194" s="41" t="inlineStr">
        <is>
          <t>Índice de riesgo de la ficha, repetido en el hecho.</t>
        </is>
      </c>
    </row>
    <row r="195">
      <c r="A195" s="24" t="inlineStr">
        <is>
          <t>FactMatricula</t>
        </is>
      </c>
      <c r="B195" s="24" t="inlineStr">
        <is>
          <t>Peso</t>
        </is>
      </c>
      <c r="C195" s="24" t="inlineStr">
        <is>
          <t>Numérico</t>
        </is>
      </c>
      <c r="D195" s="24" t="inlineStr">
        <is>
          <t>Peso de la matrícula en el análisis (1 por fila).</t>
        </is>
      </c>
    </row>
    <row r="196">
      <c r="A196" s="41" t="inlineStr">
        <is>
          <t>FactMatricula</t>
        </is>
      </c>
      <c r="B196" s="41" t="inlineStr">
        <is>
          <t>ProbPerdidaEstimada</t>
        </is>
      </c>
      <c r="C196" s="41" t="inlineStr">
        <is>
          <t>Numérico</t>
        </is>
      </c>
      <c r="D196" s="41" t="inlineStr">
        <is>
          <t>Probabilidad estructural estimada para la matrícula según su ficha y covariables.</t>
        </is>
      </c>
    </row>
    <row r="197">
      <c r="A197" s="24" t="inlineStr">
        <is>
          <t>FactMatricula</t>
        </is>
      </c>
      <c r="B197" s="24" t="inlineStr">
        <is>
          <t>NivelAlertaAprendiz</t>
        </is>
      </c>
      <c r="C197" s="24" t="inlineStr">
        <is>
          <t>Texto</t>
        </is>
      </c>
      <c r="D197" s="24" t="inlineStr">
        <is>
          <t>Banda de alerta individual derivada del percentil de probabilidad estructural.</t>
        </is>
      </c>
    </row>
    <row r="198">
      <c r="A198" s="41" t="inlineStr">
        <is>
          <t>FactMatricula</t>
        </is>
      </c>
      <c r="B198" s="41" t="inlineStr">
        <is>
          <t>RankingRiesgoFicha</t>
        </is>
      </c>
      <c r="C198" s="41" t="inlineStr">
        <is>
          <t>Numérico</t>
        </is>
      </c>
      <c r="D198" s="41" t="inlineStr">
        <is>
          <t>Ranking de riesgo de la ficha.</t>
        </is>
      </c>
    </row>
    <row r="199">
      <c r="A199" s="24" t="inlineStr">
        <is>
          <t>FactMatricula</t>
        </is>
      </c>
      <c r="B199" s="24" t="inlineStr">
        <is>
          <t>PercentilProbabilidad</t>
        </is>
      </c>
      <c r="C199" s="24" t="inlineStr">
        <is>
          <t>Numérico</t>
        </is>
      </c>
      <c r="D199" s="24" t="inlineStr">
        <is>
          <t>Percentil de la probabilidad estimada entre las matrículas.</t>
        </is>
      </c>
    </row>
    <row r="200">
      <c r="A200" s="41" t="inlineStr">
        <is>
          <t>FactMatricula</t>
        </is>
      </c>
      <c r="B200" s="41" t="inlineStr">
        <is>
          <t>PrioridadAtencion</t>
        </is>
      </c>
      <c r="C200" s="41" t="inlineStr">
        <is>
          <t>Texto</t>
        </is>
      </c>
      <c r="D200" s="41" t="inlineStr">
        <is>
          <t>Prioridad operativa: Inmediata, Seguimiento o Rutinaria.</t>
        </is>
      </c>
    </row>
    <row r="201">
      <c r="A201" s="24" t="inlineStr">
        <is>
          <t>FactMatricula</t>
        </is>
      </c>
      <c r="B201" s="24" t="inlineStr">
        <is>
          <t>MotivoPrioridad</t>
        </is>
      </c>
      <c r="C201" s="24" t="inlineStr">
        <is>
          <t>Texto</t>
        </is>
      </c>
      <c r="D201" s="24" t="inlineStr">
        <is>
          <t>Explicación textual de la prioridad asignada.</t>
        </is>
      </c>
    </row>
    <row r="202">
      <c r="A202" s="41" t="inlineStr">
        <is>
          <t>FactMatricula</t>
        </is>
      </c>
      <c r="B202" s="41" t="inlineStr">
        <is>
          <t>RequiereIntervencion</t>
        </is>
      </c>
      <c r="C202" s="41" t="inlineStr">
        <is>
          <t>Numérico</t>
        </is>
      </c>
      <c r="D202" s="41" t="inlineStr">
        <is>
          <t>1 si requiere intervención.</t>
        </is>
      </c>
    </row>
    <row r="203">
      <c r="A203" s="24" t="inlineStr">
        <is>
          <t>FactProyeccionMatricula</t>
        </is>
      </c>
      <c r="B203" s="24" t="inlineStr">
        <is>
          <t>Escenario</t>
        </is>
      </c>
      <c r="C203" s="24" t="inlineStr">
        <is>
          <t>Texto</t>
        </is>
      </c>
      <c r="D203" s="24" t="inlineStr">
        <is>
          <t>Escenario de permanencia: Optimista, Base o Pesimista.</t>
        </is>
      </c>
    </row>
    <row r="204">
      <c r="A204" s="41" t="inlineStr">
        <is>
          <t>FactProyeccionMatricula</t>
        </is>
      </c>
      <c r="B204" s="41" t="inlineStr">
        <is>
          <t>FichaID</t>
        </is>
      </c>
      <c r="C204" s="41" t="inlineStr">
        <is>
          <t>Numérico</t>
        </is>
      </c>
      <c r="D204" s="41" t="inlineStr">
        <is>
          <t>Número de ficha. Llave de la dimensión ficha.</t>
        </is>
      </c>
    </row>
    <row r="205">
      <c r="A205" s="24" t="inlineStr">
        <is>
          <t>FactProyeccionMatricula</t>
        </is>
      </c>
      <c r="B205" s="24" t="inlineStr">
        <is>
          <t>ProgramaID</t>
        </is>
      </c>
      <c r="C205" s="24" t="inlineStr">
        <is>
          <t>Texto</t>
        </is>
      </c>
      <c r="D205" s="24" t="inlineStr">
        <is>
          <t>Llave del programa normalizado.</t>
        </is>
      </c>
    </row>
    <row r="206">
      <c r="A206" s="41" t="inlineStr">
        <is>
          <t>FactProyeccionMatricula</t>
        </is>
      </c>
      <c r="B206" s="41" t="inlineStr">
        <is>
          <t>GeneracionID</t>
        </is>
      </c>
      <c r="C206" s="41" t="inlineStr">
        <is>
          <t>Texto</t>
        </is>
      </c>
      <c r="D206" s="41" t="inlineStr">
        <is>
          <t>Generación proxy: prefijo de 3 dígitos de la ficha. No es año calendario.</t>
        </is>
      </c>
    </row>
    <row r="207">
      <c r="A207" s="24" t="inlineStr">
        <is>
          <t>FactProyeccionMatricula</t>
        </is>
      </c>
      <c r="B207" s="24" t="inlineStr">
        <is>
          <t>Jornada</t>
        </is>
      </c>
      <c r="C207" s="24" t="inlineStr">
        <is>
          <t>Texto</t>
        </is>
      </c>
      <c r="D207" s="24" t="inlineStr">
        <is>
          <t>Jornada de la ficha (DIURNA o NOCTURNA).</t>
        </is>
      </c>
    </row>
    <row r="208">
      <c r="A208" s="41" t="inlineStr">
        <is>
          <t>FactProyeccionMatricula</t>
        </is>
      </c>
      <c r="B208" s="41" t="inlineStr">
        <is>
          <t>NivelRiesgo</t>
        </is>
      </c>
      <c r="C208" s="41" t="inlineStr">
        <is>
          <t>Texto</t>
        </is>
      </c>
      <c r="D208" s="41" t="inlineStr">
        <is>
          <t>Banda de riesgo: Bajo, Medio, Alto o Crítico.</t>
        </is>
      </c>
    </row>
    <row r="209">
      <c r="A209" s="24" t="inlineStr">
        <is>
          <t>FactProyeccionMatricula</t>
        </is>
      </c>
      <c r="B209" s="24" t="inlineStr">
        <is>
          <t>Matriculas</t>
        </is>
      </c>
      <c r="C209" s="24" t="inlineStr">
        <is>
          <t>Numérico</t>
        </is>
      </c>
      <c r="D209" s="24" t="inlineStr">
        <is>
          <t>Número de matrículas.</t>
        </is>
      </c>
    </row>
    <row r="210">
      <c r="A210" s="41" t="inlineStr">
        <is>
          <t>FactProyeccionMatricula</t>
        </is>
      </c>
      <c r="B210" s="41" t="inlineStr">
        <is>
          <t>PerdidasObservadas</t>
        </is>
      </c>
      <c r="C210" s="41" t="inlineStr">
        <is>
          <t>Numérico</t>
        </is>
      </c>
      <c r="D210" s="41" t="inlineStr">
        <is>
          <t>Pérdidas ya observadas en la ficha.</t>
        </is>
      </c>
    </row>
    <row r="211">
      <c r="A211" s="24" t="inlineStr">
        <is>
          <t>FactProyeccionMatricula</t>
        </is>
      </c>
      <c r="B211" s="24" t="inlineStr">
        <is>
          <t>TasaObservada</t>
        </is>
      </c>
      <c r="C211" s="24" t="inlineStr">
        <is>
          <t>Numérico</t>
        </is>
      </c>
      <c r="D211" s="24" t="inlineStr">
        <is>
          <t>Tasa de pérdida observada.</t>
        </is>
      </c>
    </row>
    <row r="212">
      <c r="A212" s="41" t="inlineStr">
        <is>
          <t>FactProyeccionMatricula</t>
        </is>
      </c>
      <c r="B212" s="41" t="inlineStr">
        <is>
          <t>PoblacionVinculada</t>
        </is>
      </c>
      <c r="C212" s="41" t="inlineStr">
        <is>
          <t>Numérico</t>
        </is>
      </c>
      <c r="D212" s="41" t="inlineStr">
        <is>
          <t>Población vinculada al inicio de la proyección.</t>
        </is>
      </c>
    </row>
    <row r="213">
      <c r="A213" s="24" t="inlineStr">
        <is>
          <t>FactProyeccionMatricula</t>
        </is>
      </c>
      <c r="B213" s="24" t="inlineStr">
        <is>
          <t>TasaFinalSupuesta</t>
        </is>
      </c>
      <c r="C213" s="24" t="inlineStr">
        <is>
          <t>Numérico</t>
        </is>
      </c>
      <c r="D213" s="24" t="inlineStr">
        <is>
          <t>Tasa final (plateau) supuesta para el escenario.</t>
        </is>
      </c>
    </row>
    <row r="214">
      <c r="A214" s="41" t="inlineStr">
        <is>
          <t>FactProyeccionMatricula</t>
        </is>
      </c>
      <c r="B214" s="41" t="inlineStr">
        <is>
          <t>PerdidaAdicionalEsperada</t>
        </is>
      </c>
      <c r="C214" s="41" t="inlineStr">
        <is>
          <t>Numérico</t>
        </is>
      </c>
      <c r="D214" s="41" t="inlineStr">
        <is>
          <t>Pérdida adicional esperada desde el corte hasta el plateau.</t>
        </is>
      </c>
    </row>
    <row r="215">
      <c r="A215" s="24" t="inlineStr">
        <is>
          <t>FactProyeccionMatricula</t>
        </is>
      </c>
      <c r="B215" s="24" t="inlineStr">
        <is>
          <t>PoblacionProyectada</t>
        </is>
      </c>
      <c r="C215" s="24" t="inlineStr">
        <is>
          <t>Numérico</t>
        </is>
      </c>
      <c r="D215" s="24" t="inlineStr">
        <is>
          <t>Población proyectada al final del escenario.</t>
        </is>
      </c>
    </row>
    <row r="216">
      <c r="A216" s="41" t="inlineStr">
        <is>
          <t>FactProyeccionMatricula</t>
        </is>
      </c>
      <c r="B216" s="41" t="inlineStr">
        <is>
          <t>TasaProyectada</t>
        </is>
      </c>
      <c r="C216" s="41" t="inlineStr">
        <is>
          <t>Numérico</t>
        </is>
      </c>
      <c r="D216" s="41" t="inlineStr">
        <is>
          <t>Tasa de pérdida proyectada.</t>
        </is>
      </c>
    </row>
    <row r="217">
      <c r="A217" s="24" t="inlineStr">
        <is>
          <t>FactProyeccionMatricula</t>
        </is>
      </c>
      <c r="B217" s="24" t="inlineStr">
        <is>
          <t>Nota</t>
        </is>
      </c>
      <c r="C217" s="24" t="inlineStr">
        <is>
          <t>Texto</t>
        </is>
      </c>
      <c r="D217" s="24" t="inlineStr">
        <is>
          <t>Nota metodológica.</t>
        </is>
      </c>
    </row>
    <row r="219" ht="40" customHeight="1">
      <c r="A219" s="52" t="inlineStr">
        <is>
          <t>Regla de privacidad: data/processed y este libro no contienen nombres, documentos, celulares ni correos. El correo se reduce a dominio; el documento se reemplaza por un hash. La lista nominal está en data/restricted y no debe publicarse ni adjuntarse a este entregable.</t>
        </is>
      </c>
      <c r="B219" s="29" t="n"/>
      <c r="C219" s="29" t="n"/>
      <c r="D219" s="29" t="n"/>
      <c r="E219" s="29" t="n"/>
      <c r="F219" s="29" t="n"/>
      <c r="G219" s="29" t="n"/>
      <c r="H219" s="29" t="n"/>
    </row>
  </sheetData>
  <mergeCells count="4">
    <mergeCell ref="A219:H219"/>
    <mergeCell ref="A2:H2"/>
    <mergeCell ref="A22:H22"/>
    <mergeCell ref="A1:H1"/>
  </mergeCells>
  <pageMargins left="0.35" right="0.35" top="0.45" bottom="0.45" header="0.5" footer="0.5"/>
  <pageSetup orientation="landscape" fitToHeight="0" fitToWidth="1"/>
  <headerFooter>
    <oddHeader/>
    <oddFooter>&amp;C&amp;8 &amp;K808080Caracterización de Aprendices Centro ASTIN · Corte 19/10/2026 · Datos sin PII</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9.xml><?xml version="1.0" encoding="utf-8"?>
<worksheet xmlns="http://schemas.openxmlformats.org/spreadsheetml/2006/main">
  <sheetPr>
    <outlinePr summaryBelow="1" summaryRight="1"/>
    <pageSetUpPr fitToPage="1"/>
  </sheetPr>
  <dimension ref="A1:J50"/>
  <sheetViews>
    <sheetView showGridLines="0" workbookViewId="0">
      <selection activeCell="A1" sqref="A1"/>
    </sheetView>
  </sheetViews>
  <sheetFormatPr baseColWidth="8" defaultRowHeight="15"/>
  <sheetData>
    <row r="1" ht="38" customHeight="1">
      <c r="A1" s="35" t="inlineStr">
        <is>
          <t>Notas metodológicas</t>
        </is>
      </c>
      <c r="B1" s="2" t="n"/>
      <c r="C1" s="2" t="n"/>
      <c r="D1" s="2" t="n"/>
      <c r="E1" s="2" t="n"/>
      <c r="F1" s="2" t="n"/>
      <c r="G1" s="2" t="n"/>
      <c r="H1" s="2" t="n"/>
      <c r="I1" s="2" t="n"/>
      <c r="J1" s="2" t="n"/>
    </row>
    <row r="2" ht="24" customHeight="1">
      <c r="A2" s="36" t="inlineStr">
        <is>
          <t>Cómo leer el libro, qué se puede concluir y qué no.</t>
        </is>
      </c>
      <c r="B2" s="37" t="n"/>
      <c r="C2" s="37" t="n"/>
      <c r="D2" s="37" t="n"/>
      <c r="E2" s="37" t="n"/>
      <c r="F2" s="37" t="n"/>
      <c r="G2" s="37" t="n"/>
      <c r="H2" s="37" t="n"/>
      <c r="I2" s="37" t="n"/>
      <c r="J2" s="37" t="n"/>
    </row>
    <row r="4" ht="21" customHeight="1">
      <c r="A4" s="22" t="inlineStr">
        <is>
          <t>1. Corte y granularidad</t>
        </is>
      </c>
      <c r="B4" s="2" t="n"/>
      <c r="C4" s="2" t="n"/>
      <c r="D4" s="2" t="n"/>
      <c r="E4" s="2" t="n"/>
      <c r="F4" s="2" t="n"/>
      <c r="G4" s="2" t="n"/>
      <c r="H4" s="2" t="n"/>
      <c r="I4" s="2" t="n"/>
      <c r="J4" s="2" t="n"/>
    </row>
    <row r="5" ht="30" customHeight="1">
      <c r="A5" s="47" t="inlineStr">
        <is>
          <t>• Hay un solo corte: 19 de octubre de 2026. No hay serie histórica ni fechas de matrícula, retiro o certificación.</t>
        </is>
      </c>
    </row>
    <row r="6" ht="30" customHeight="1">
      <c r="A6" s="47" t="inlineStr">
        <is>
          <t>• El grano de FactMatricula es una matrícula de aprendiz en una ficha. Un aprendiz puede aportar dos filas si está en dos fichas.</t>
        </is>
      </c>
    </row>
    <row r="7" ht="30" customHeight="1">
      <c r="A7" s="47" t="inlineStr">
        <is>
          <t>• Los totales de matrícula (1.592) no son personas únicas (1.583). Use la medida correcta según la pregunta.</t>
        </is>
      </c>
    </row>
    <row r="9" ht="21" customHeight="1">
      <c r="A9" s="22" t="inlineStr">
        <is>
          <t>2. Estados y pérdida</t>
        </is>
      </c>
      <c r="B9" s="2" t="n"/>
      <c r="C9" s="2" t="n"/>
      <c r="D9" s="2" t="n"/>
      <c r="E9" s="2" t="n"/>
      <c r="F9" s="2" t="n"/>
      <c r="G9" s="2" t="n"/>
      <c r="H9" s="2" t="n"/>
      <c r="I9" s="2" t="n"/>
      <c r="J9" s="2" t="n"/>
    </row>
    <row r="10" ht="30" customHeight="1">
      <c r="A10" s="47" t="inlineStr">
        <is>
          <t>• Pérdida = CANCELADO + RETIRO VOLUNTARIO. En el corte: 428 cancelados + 11 retiros = 439 (27,6%).</t>
        </is>
      </c>
    </row>
    <row r="11" ht="30" customHeight="1">
      <c r="A11" s="47" t="inlineStr">
        <is>
          <t>• TRASLADADO no es pérdida, pero tampoco es activo ni vinculado. APLAZADO es vinculado, no activo.</t>
        </is>
      </c>
    </row>
    <row r="12" ht="30" customHeight="1">
      <c r="A12" s="47" t="inlineStr">
        <is>
          <t>• CONDICIONADO es activo en riesgo. No hay certificados en la fuente.</t>
        </is>
      </c>
    </row>
    <row r="14" ht="21" customHeight="1">
      <c r="A14" s="22" t="inlineStr">
        <is>
          <t>3. Riesgo por ficha</t>
        </is>
      </c>
      <c r="B14" s="2" t="n"/>
      <c r="C14" s="2" t="n"/>
      <c r="D14" s="2" t="n"/>
      <c r="E14" s="2" t="n"/>
      <c r="F14" s="2" t="n"/>
      <c r="G14" s="2" t="n"/>
      <c r="H14" s="2" t="n"/>
      <c r="I14" s="2" t="n"/>
      <c r="J14" s="2" t="n"/>
    </row>
    <row r="15" ht="30" customHeight="1">
      <c r="A15" s="47" t="inlineStr">
        <is>
          <t>• El índice es el percentil de la tasa de pérdida ajustada por empirical Bayes (prior k=10, media global 27,58%).</t>
        </is>
      </c>
    </row>
    <row r="16" ht="30" customHeight="1">
      <c r="A16" s="47" t="inlineStr">
        <is>
          <t>• Bandas: Bajo &lt; p50; Medio p50–p75; Alto p75–p90; Crítico ≥ p90. La validación es monotónica, no predictiva.</t>
        </is>
      </c>
    </row>
    <row r="17" ht="30" customHeight="1">
      <c r="A17" s="47" t="inlineStr">
        <is>
          <t>• La probabilidad beta-binomial reporta media posterior e IC creíble 95%. No es una fecha ni una probabilidad individual.</t>
        </is>
      </c>
    </row>
    <row r="18" ht="30" customHeight="1">
      <c r="A18" s="47" t="inlineStr">
        <is>
          <t>• El contacto incompleto no entra al índice: su asociación ajustada por programa es espuria (OR MH 0,65).</t>
        </is>
      </c>
    </row>
    <row r="20" ht="21" customHeight="1">
      <c r="A20" s="22" t="inlineStr">
        <is>
          <t>4. Programa y jornada</t>
        </is>
      </c>
      <c r="B20" s="2" t="n"/>
      <c r="C20" s="2" t="n"/>
      <c r="D20" s="2" t="n"/>
      <c r="E20" s="2" t="n"/>
      <c r="F20" s="2" t="n"/>
      <c r="G20" s="2" t="n"/>
      <c r="H20" s="2" t="n"/>
      <c r="I20" s="2" t="n"/>
      <c r="J20" s="2" t="n"/>
    </row>
    <row r="21" ht="30" customHeight="1">
      <c r="A21" s="47" t="inlineStr">
        <is>
          <t>• Los contrastes son exploratorios: no ajustan por clustering intra-ficha y no prueban causalidad.</t>
        </is>
      </c>
    </row>
    <row r="22" ht="30" customHeight="1">
      <c r="A22" s="47" t="inlineStr">
        <is>
          <t>• La jornada nocturna tiene mayor tasa observada (36,0% vs 23,0%), pero la asignación a jornada no es aleatoria.</t>
        </is>
      </c>
    </row>
    <row r="23" ht="30" customHeight="1">
      <c r="A23" s="47" t="inlineStr">
        <is>
          <t>• Los rankings de programas con una ficha o n pequeño son inestables; siempre lea el IC y el tamaño.</t>
        </is>
      </c>
    </row>
    <row r="25" ht="21" customHeight="1">
      <c r="A25" s="22" t="inlineStr">
        <is>
          <t>5. Cohortes</t>
        </is>
      </c>
      <c r="B25" s="2" t="n"/>
      <c r="C25" s="2" t="n"/>
      <c r="D25" s="2" t="n"/>
      <c r="E25" s="2" t="n"/>
      <c r="F25" s="2" t="n"/>
      <c r="G25" s="2" t="n"/>
      <c r="H25" s="2" t="n"/>
      <c r="I25" s="2" t="n"/>
      <c r="J25" s="2" t="n"/>
    </row>
    <row r="26" ht="30" customHeight="1">
      <c r="A26" s="47" t="inlineStr">
        <is>
          <t>• La generación es un proxy construido con el prefijo de 3 dígitos de la ficha. No es año calendario.</t>
        </is>
      </c>
    </row>
    <row r="27" ht="30" customHeight="1">
      <c r="A27" s="47" t="inlineStr">
        <is>
          <t>• La tendencia negativa (Spearman −0,921) mezcla maduración de cohortes y composición. Es descriptiva.</t>
        </is>
      </c>
    </row>
    <row r="28" ht="30" customHeight="1">
      <c r="A28" s="47" t="inlineStr">
        <is>
          <t>• No se puede estimar nueva matrícula ni estacionalidad con un solo snapshot.</t>
        </is>
      </c>
    </row>
    <row r="30" ht="21" customHeight="1">
      <c r="A30" s="22" t="inlineStr">
        <is>
          <t>6. Modelo predictivo</t>
        </is>
      </c>
      <c r="B30" s="2" t="n"/>
      <c r="C30" s="2" t="n"/>
      <c r="D30" s="2" t="n"/>
      <c r="E30" s="2" t="n"/>
      <c r="F30" s="2" t="n"/>
      <c r="G30" s="2" t="n"/>
      <c r="H30" s="2" t="n"/>
      <c r="I30" s="2" t="n"/>
      <c r="J30" s="2" t="n"/>
    </row>
    <row r="31" ht="30" customHeight="1">
      <c r="A31" s="47" t="inlineStr">
        <is>
          <t>• Validación StratifiedGroupKFold(5) agrupada por ficha; predicciones out-of-fold.</t>
        </is>
      </c>
    </row>
    <row r="32" ht="30" customHeight="1">
      <c r="A32" s="47" t="inlineStr">
        <is>
          <t>• AUC 0,726 (IC bootstrap 0,669–0,781), Brier 0,178 vs base 0,200, ECE 0,048.</t>
        </is>
      </c>
    </row>
    <row r="33" ht="30" customHeight="1">
      <c r="A33" s="47" t="inlineStr">
        <is>
          <t>• El modelo estructural (sin variables individuales) obtiene AUC 0,716; el individual, 0,467.</t>
        </is>
      </c>
    </row>
    <row r="34" ht="30" customHeight="1">
      <c r="A34" s="47" t="inlineStr">
        <is>
          <t>• Conclusión: la señal es de ficha/programa/jornada. Priorice fichas. No use el score para sancionar ni negar cupos.</t>
        </is>
      </c>
    </row>
    <row r="36" ht="21" customHeight="1">
      <c r="A36" s="22" t="inlineStr">
        <is>
          <t>7. Proyección</t>
        </is>
      </c>
      <c r="B36" s="2" t="n"/>
      <c r="C36" s="2" t="n"/>
      <c r="D36" s="2" t="n"/>
      <c r="E36" s="2" t="n"/>
      <c r="F36" s="2" t="n"/>
      <c r="G36" s="2" t="n"/>
      <c r="H36" s="2" t="n"/>
      <c r="I36" s="2" t="n"/>
      <c r="J36" s="2" t="n"/>
    </row>
    <row r="37" ht="30" customHeight="1">
      <c r="A37" s="47" t="inlineStr">
        <is>
          <t>• Proyecta la permanencia de los 1.144 vinculados, no la nueva matrícula.</t>
        </is>
      </c>
    </row>
    <row r="38" ht="30" customHeight="1">
      <c r="A38" s="47" t="inlineStr">
        <is>
          <t>• Plateau global 43,2% con suavizado por programa (k=50). Escenarios: Base, Optimista −7 pp, Pesimista +7 pp.</t>
        </is>
      </c>
    </row>
    <row r="39" ht="30" customHeight="1">
      <c r="A39" s="47" t="inlineStr">
        <is>
          <t>• Base: 856 proyectados (−288; 45,6% de pérdida proyectada). Optimista: 932. Pesimista: 769.</t>
        </is>
      </c>
    </row>
    <row r="40" ht="30" customHeight="1">
      <c r="A40" s="47" t="inlineStr">
        <is>
          <t>• No produce fechas de cierre ni presupuesto: es un ejercicio de escenarios.</t>
        </is>
      </c>
    </row>
    <row r="42" ht="21" customHeight="1">
      <c r="A42" s="22" t="inlineStr">
        <is>
          <t>8. Privacidad</t>
        </is>
      </c>
      <c r="B42" s="2" t="n"/>
      <c r="C42" s="2" t="n"/>
      <c r="D42" s="2" t="n"/>
      <c r="E42" s="2" t="n"/>
      <c r="F42" s="2" t="n"/>
      <c r="G42" s="2" t="n"/>
      <c r="H42" s="2" t="n"/>
      <c r="I42" s="2" t="n"/>
      <c r="J42" s="2" t="n"/>
    </row>
    <row r="43" ht="30" customHeight="1">
      <c r="A43" s="47" t="inlineStr">
        <is>
          <t>• data/processed no contiene nombres, documentos, celulares ni correos.</t>
        </is>
      </c>
    </row>
    <row r="44" ht="30" customHeight="1">
      <c r="A44" s="47" t="inlineStr">
        <is>
          <t>• El identificador de aprendiz es un hash; el correo se reduce a dominio.</t>
        </is>
      </c>
    </row>
    <row r="45" ht="30" customHeight="1">
      <c r="A45" s="47" t="inlineStr">
        <is>
          <t>• La lista nominal está en data/restricted/lista_priorizada.csv y es de uso interno. No se incluye en este libro.</t>
        </is>
      </c>
    </row>
    <row r="47" ht="21" customHeight="1">
      <c r="A47" s="22" t="inlineStr">
        <is>
          <t>9. Reproducibilidad</t>
        </is>
      </c>
      <c r="B47" s="2" t="n"/>
      <c r="C47" s="2" t="n"/>
      <c r="D47" s="2" t="n"/>
      <c r="E47" s="2" t="n"/>
      <c r="F47" s="2" t="n"/>
      <c r="G47" s="2" t="n"/>
      <c r="H47" s="2" t="n"/>
      <c r="I47" s="2" t="n"/>
      <c r="J47" s="2" t="n"/>
    </row>
    <row r="48" ht="30" customHeight="1">
      <c r="A48" s="47" t="inlineStr">
        <is>
          <t>• Ejecute los scripts 01 a 06 en orden con Python 3.12+ y las dependencias de requirements.txt.</t>
        </is>
      </c>
    </row>
    <row r="49" ht="30" customHeight="1">
      <c r="A49" s="47" t="inlineStr">
        <is>
          <t>• Comando: $env:PYTHONIOENCODING='utf-8'; python -X utf8 scripts/05_generar_excel.py</t>
        </is>
      </c>
    </row>
    <row r="50" ht="30" customHeight="1">
      <c r="A50" s="47" t="inlineStr">
        <is>
          <t>• Las cifras del libro se leen de data/processed y outputs/*.json; no se digitan a mano.</t>
        </is>
      </c>
    </row>
  </sheetData>
  <mergeCells count="41">
    <mergeCell ref="A47:J47"/>
    <mergeCell ref="A5:J5"/>
    <mergeCell ref="A23:J23"/>
    <mergeCell ref="A32:J32"/>
    <mergeCell ref="A14:J14"/>
    <mergeCell ref="A22:J22"/>
    <mergeCell ref="A17:J17"/>
    <mergeCell ref="A4:J4"/>
    <mergeCell ref="A20:J20"/>
    <mergeCell ref="A38:J38"/>
    <mergeCell ref="A43:J43"/>
    <mergeCell ref="A10:J10"/>
    <mergeCell ref="A28:J28"/>
    <mergeCell ref="A44:J44"/>
    <mergeCell ref="A31:J31"/>
    <mergeCell ref="A40:J40"/>
    <mergeCell ref="A9:J9"/>
    <mergeCell ref="A30:J30"/>
    <mergeCell ref="A39:J39"/>
    <mergeCell ref="A34:J34"/>
    <mergeCell ref="A15:J15"/>
    <mergeCell ref="A48:J48"/>
    <mergeCell ref="A11:J11"/>
    <mergeCell ref="A49:J49"/>
    <mergeCell ref="A1:J1"/>
    <mergeCell ref="A45:J45"/>
    <mergeCell ref="A36:J36"/>
    <mergeCell ref="A6:J6"/>
    <mergeCell ref="A7:J7"/>
    <mergeCell ref="A16:J16"/>
    <mergeCell ref="A25:J25"/>
    <mergeCell ref="A37:J37"/>
    <mergeCell ref="A18:J18"/>
    <mergeCell ref="A27:J27"/>
    <mergeCell ref="A21:J21"/>
    <mergeCell ref="A12:J12"/>
    <mergeCell ref="A50:J50"/>
    <mergeCell ref="A26:J26"/>
    <mergeCell ref="A2:J2"/>
    <mergeCell ref="A42:J42"/>
    <mergeCell ref="A33:J33"/>
  </mergeCells>
  <pageMargins left="0.35" right="0.35" top="0.45" bottom="0.45" header="0.5" footer="0.5"/>
  <pageSetup orientation="portrait" fitToHeight="0" fitToWidth="1"/>
  <headerFooter>
    <oddHeader/>
    <oddFooter>&amp;C&amp;8 &amp;K808080Caracterización de Aprendices Centro ASTIN · Corte 19/10/2026 · Datos sin PII</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Dashboard Aprendices SENA</dc:creator>
  <dc:title>Caracterización de Aprendices Centro ASTIN</dc:title>
  <dc:description>Corte 2026-10-19. Datos agregados sin PII.</dc:description>
  <dc:subject>Analítica de matrícula, pérdida, riesgo y permanencia</dc:subject>
  <dcterms:created xsi:type="dcterms:W3CDTF">2026-10-22T19:37:12Z</dcterms:created>
  <dcterms:modified xsi:type="dcterms:W3CDTF">2026-10-22T19:37:12Z</dcterms:modified>
  <cp:keywords>SENA; aprendices; deserción; riesgo; Power BI; Excel</cp:keywords>
</cp:coreProperties>
</file>